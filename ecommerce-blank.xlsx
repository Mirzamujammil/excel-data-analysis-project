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data analyst\ms excel\projects\yt assisted project\proj2\"/>
    </mc:Choice>
  </mc:AlternateContent>
  <xr:revisionPtr revIDLastSave="0" documentId="13_ncr:1_{FE6CC3F3-EC7E-4B21-94A6-C994CECE4860}" xr6:coauthVersionLast="47" xr6:coauthVersionMax="47" xr10:uidLastSave="{00000000-0000-0000-0000-000000000000}"/>
  <bookViews>
    <workbookView xWindow="-108" yWindow="-108" windowWidth="23256" windowHeight="12456" firstSheet="2" activeTab="7" xr2:uid="{346724B3-1C49-40AE-AA36-C77CF5D6DD09}"/>
  </bookViews>
  <sheets>
    <sheet name="Detail1" sheetId="6" state="hidden" r:id="rId1"/>
    <sheet name="KPIs" sheetId="5" r:id="rId2"/>
    <sheet name="Sheet2" sheetId="11" r:id="rId3"/>
    <sheet name="Sheet1" sheetId="12" r:id="rId4"/>
    <sheet name="gender" sheetId="13" r:id="rId5"/>
    <sheet name="map" sheetId="14" r:id="rId6"/>
    <sheet name="Data" sheetId="1" r:id="rId7"/>
    <sheet name="Dashboard" sheetId="3" r:id="rId8"/>
    <sheet name="Questions &amp; KPIs" sheetId="2" r:id="rId9"/>
  </sheets>
  <definedNames>
    <definedName name="_xlchart.v5.0" hidden="1">map!$K$7:$L$7</definedName>
    <definedName name="_xlchart.v5.1" hidden="1">map!$K$8:$L$65</definedName>
    <definedName name="_xlchart.v5.10" hidden="1">map!$I$7</definedName>
    <definedName name="_xlchart.v5.11" hidden="1">map!$I$8:$I$65</definedName>
    <definedName name="_xlchart.v5.12" hidden="1">map!$K$7:$L$7</definedName>
    <definedName name="_xlchart.v5.13" hidden="1">map!$K$8:$L$65</definedName>
    <definedName name="_xlchart.v5.14" hidden="1">map!$M$7</definedName>
    <definedName name="_xlchart.v5.15" hidden="1">map!$M$8:$M$65</definedName>
    <definedName name="_xlchart.v5.16" hidden="1">map!$K$7:$L$7</definedName>
    <definedName name="_xlchart.v5.17" hidden="1">map!$K$8:$L$65</definedName>
    <definedName name="_xlchart.v5.18" hidden="1">map!$M$7</definedName>
    <definedName name="_xlchart.v5.19" hidden="1">map!$M$8:$M$65</definedName>
    <definedName name="_xlchart.v5.2" hidden="1">map!$M$7</definedName>
    <definedName name="_xlchart.v5.20" hidden="1">map!$G$7:$H$7</definedName>
    <definedName name="_xlchart.v5.21" hidden="1">map!$G$8:$H$65</definedName>
    <definedName name="_xlchart.v5.22" hidden="1">map!$I$7</definedName>
    <definedName name="_xlchart.v5.23" hidden="1">map!$I$8:$I$65</definedName>
    <definedName name="_xlchart.v5.24" hidden="1">map!$G$7:$H$7</definedName>
    <definedName name="_xlchart.v5.25" hidden="1">map!$G$8:$H$65</definedName>
    <definedName name="_xlchart.v5.26" hidden="1">map!$I$7</definedName>
    <definedName name="_xlchart.v5.27" hidden="1">map!$I$8:$I$65</definedName>
    <definedName name="_xlchart.v5.28" hidden="1">map!$K$7:$L$7</definedName>
    <definedName name="_xlchart.v5.29" hidden="1">map!$K$8:$L$65</definedName>
    <definedName name="_xlchart.v5.3" hidden="1">map!$M$8:$M$65</definedName>
    <definedName name="_xlchart.v5.30" hidden="1">map!$M$7</definedName>
    <definedName name="_xlchart.v5.31" hidden="1">map!$M$8:$M$65</definedName>
    <definedName name="_xlchart.v5.4" hidden="1">map!$G$7:$H$7</definedName>
    <definedName name="_xlchart.v5.5" hidden="1">map!$G$8:$H$65</definedName>
    <definedName name="_xlchart.v5.6" hidden="1">map!$I$7</definedName>
    <definedName name="_xlchart.v5.7" hidden="1">map!$I$8:$I$65</definedName>
    <definedName name="_xlchart.v5.8" hidden="1">map!$G$7:$H$7</definedName>
    <definedName name="_xlchart.v5.9" hidden="1">map!$G$8:$H$65</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03" i="1" l="1"/>
  <c r="I5" i="11"/>
  <c r="J4" i="11"/>
  <c r="K4" i="11"/>
  <c r="L4" i="11"/>
  <c r="I4" i="11"/>
  <c r="J5" i="11"/>
  <c r="K5" i="11"/>
  <c r="L5" i="11"/>
  <c r="I6" i="11"/>
  <c r="J6" i="11"/>
  <c r="K6" i="11"/>
  <c r="L6" i="11"/>
  <c r="I7" i="11"/>
  <c r="J7" i="11"/>
  <c r="K7" i="11"/>
  <c r="L7" i="11"/>
  <c r="I8" i="11"/>
  <c r="J8" i="11"/>
  <c r="K8" i="11"/>
  <c r="L8" i="11"/>
  <c r="I9" i="11"/>
  <c r="J9" i="11"/>
  <c r="K9" i="11"/>
  <c r="L9" i="11"/>
  <c r="H6" i="11"/>
  <c r="H7" i="11"/>
  <c r="H8" i="11"/>
  <c r="H9" i="11"/>
  <c r="H5" i="11"/>
  <c r="H5" i="5"/>
  <c r="K5" i="5"/>
  <c r="J5" i="5"/>
  <c r="G5" i="5"/>
  <c r="I5"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c r="O2269" i="1" a="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c r="O1636" i="1" a="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c r="O1365" i="1" a="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c r="O891" i="1" a="1"/>
  <c r="N891" i="1"/>
  <c r="M891" i="1"/>
  <c r="O890" i="1"/>
  <c r="O890" i="1" a="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c r="O823" i="1" a="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c r="O814" i="1" a="1"/>
  <c r="N814" i="1"/>
  <c r="M814" i="1"/>
  <c r="O813" i="1"/>
  <c r="O813" i="1" a="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c r="O400" i="1" a="1"/>
  <c r="N400" i="1"/>
  <c r="M400" i="1"/>
  <c r="O399" i="1"/>
  <c r="O399" i="1" a="1"/>
  <c r="N399" i="1"/>
  <c r="M399" i="1"/>
  <c r="O398" i="1"/>
  <c r="O398" i="1" a="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c r="O318" i="1" a="1"/>
  <c r="N318" i="1"/>
  <c r="M318" i="1"/>
  <c r="O317" i="1"/>
  <c r="O317" i="1" a="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<sst xmlns="http://schemas.openxmlformats.org/spreadsheetml/2006/main" count="14860" uniqueCount="2539">
  <si>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</si>
  <si>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</si>
  <si>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</si>
  <si>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</si>
  <si>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</si>
  <si>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</si>
  <si>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</si>
  <si>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</si>
  <si>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</si>
  <si>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</si>
  <si>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</si>
  <si>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</si>
  <si>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</si>
  <si>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</si>
  <si>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</si>
  <si>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</si>
  <si>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</si>
  <si>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</si>
  <si>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</si>
  <si>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</si>
  <si>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</si>
  <si>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</si>
  <si>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</si>
  <si>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</si>
  <si>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</si>
  <si>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</si>
  <si>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</si>
  <si>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</si>
  <si>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</si>
  <si>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</si>
  <si>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</si>
  <si>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</si>
  <si>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</si>
  <si>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</si>
  <si>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</si>
  <si>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</si>
  <si>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</si>
  <si>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</si>
  <si>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</si>
  <si>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</si>
  <si>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</si>
  <si>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</si>
  <si>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</si>
  <si>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</si>
  <si>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</si>
  <si>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</si>
  <si>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</si>
  <si>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</si>
  <si>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</si>
  <si>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</si>
  <si>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</si>
  <si>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</si>
  <si>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</si>
  <si>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</si>
  <si>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</si>
  <si>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</si>
  <si>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</si>
  <si>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</si>
  <si>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</si>
  <si>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</si>
  <si>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</si>
  <si>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</si>
  <si>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</si>
  <si>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</si>
  <si>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</si>
  <si>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</si>
  <si>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</si>
  <si>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</si>
  <si>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</si>
  <si>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</si>
  <si>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</si>
  <si>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</si>
  <si>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</si>
  <si>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</si>
  <si>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</si>
  <si>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</si>
  <si>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</si>
  <si>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</si>
  <si>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</si>
  <si>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</si>
  <si>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</si>
  <si>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</si>
  <si>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</si>
  <si>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</si>
  <si>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</si>
  <si>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</si>
  <si>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</si>
  <si>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</si>
  <si>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</si>
  <si>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</si>
  <si>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</si>
  <si>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</si>
  <si>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</si>
  <si>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</si>
  <si>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</si>
  <si>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</si>
  <si>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</si>
  <si>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</si>
  <si>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</si>
  <si>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</si>
  <si>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</si>
  <si>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</si>
  <si>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</si>
  <si>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</si>
  <si>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</si>
  <si>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</si>
  <si>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</si>
  <si>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</si>
  <si>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</si>
  <si>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</si>
  <si>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</si>
  <si>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</si>
  <si>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</si>
  <si>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</si>
  <si>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</si>
  <si>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</si>
  <si>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</si>
  <si>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</si>
  <si>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</si>
  <si>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</si>
  <si>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</si>
  <si>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</si>
  <si>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</si>
  <si>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</si>
  <si>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</si>
  <si>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</si>
  <si>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</si>
  <si>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</si>
  <si>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</si>
  <si>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</si>
  <si>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</si>
  <si>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</si>
  <si>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</si>
  <si>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</si>
  <si>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</si>
  <si>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</si>
  <si>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</si>
  <si>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</si>
  <si>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</si>
  <si>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</si>
  <si>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</si>
  <si>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</si>
  <si>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</si>
  <si>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</si>
  <si>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</si>
  <si>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</si>
  <si>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</si>
  <si>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</si>
  <si>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</si>
  <si>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</si>
  <si>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</si>
  <si>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</si>
  <si>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</si>
  <si>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</si>
  <si>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</si>
  <si>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</si>
  <si>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</si>
  <si>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</si>
  <si>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</si>
  <si>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</si>
  <si>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</si>
  <si>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</si>
  <si>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</si>
  <si>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</si>
  <si>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</si>
  <si>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</si>
  <si>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</si>
  <si>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</si>
  <si>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</si>
  <si>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</si>
  <si>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</si>
  <si>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</si>
  <si>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</si>
  <si>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</si>
  <si>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</si>
  <si>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</si>
  <si>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</si>
  <si>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</si>
  <si>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</si>
  <si>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</si>
  <si>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</si>
  <si>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</si>
  <si>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</si>
  <si>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</si>
  <si>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</si>
  <si>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</si>
  <si>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</si>
  <si>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</si>
  <si>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</si>
  <si>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</si>
  <si>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</si>
  <si>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</si>
  <si>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</si>
  <si>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</si>
  <si>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</si>
  <si>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</si>
  <si>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</si>
  <si>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</si>
  <si>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</si>
  <si>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</si>
  <si>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</si>
  <si>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</si>
  <si>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</si>
  <si>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</si>
  <si>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</si>
  <si>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</si>
  <si>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</si>
  <si>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</si>
  <si>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</si>
  <si>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</si>
  <si>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</si>
  <si>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</si>
  <si>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</si>
  <si>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</si>
  <si>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</si>
  <si>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</si>
  <si>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</si>
  <si>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</si>
  <si>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</si>
  <si>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</si>
  <si>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</si>
  <si>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</si>
  <si>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</si>
  <si>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</si>
  <si>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</si>
  <si>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</si>
  <si>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</si>
  <si>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</si>
  <si>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</si>
  <si>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</si>
  <si>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</si>
  <si>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</si>
  <si>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</si>
  <si>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</si>
  <si>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</si>
  <si>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</si>
  <si>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</si>
  <si>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</si>
  <si>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</si>
  <si>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</si>
  <si>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</si>
  <si>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</si>
  <si>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</si>
  <si>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</si>
  <si>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</si>
  <si>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</si>
  <si>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</si>
  <si>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</si>
  <si>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</si>
  <si>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</si>
  <si>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</si>
  <si>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</si>
  <si>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</si>
  <si>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</si>
  <si>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</si>
  <si>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</si>
  <si>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</si>
  <si>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</si>
  <si>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</si>
  <si>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</si>
  <si>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</si>
  <si>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</si>
  <si>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</si>
  <si>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</si>
  <si>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</si>
  <si>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</si>
  <si>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</si>
  <si>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</si>
  <si>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</si>
  <si>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</si>
  <si>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</si>
  <si>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</si>
  <si>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</si>
  <si>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</si>
  <si>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</si>
  <si>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</si>
  <si>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</si>
  <si>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</si>
  <si>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</si>
  <si>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</si>
  <si>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</si>
  <si>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</si>
  <si>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</si>
  <si>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</si>
  <si>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</si>
  <si>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</si>
  <si>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</si>
  <si>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</si>
  <si>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</si>
  <si>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</si>
  <si>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</si>
  <si>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</si>
  <si>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</si>
  <si>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</si>
  <si>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</si>
  <si>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</si>
  <si>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</si>
  <si>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</si>
  <si>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</si>
  <si>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</si>
  <si>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</si>
  <si>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</si>
  <si>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</si>
  <si>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</si>
  <si>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</si>
  <si>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</si>
  <si>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</si>
  <si>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</si>
  <si>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</si>
  <si>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</si>
  <si>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</si>
  <si>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</si>
  <si>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</si>
  <si>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</si>
  <si>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</si>
  <si>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</si>
  <si>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</si>
  <si>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</si>
  <si>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</si>
  <si>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</si>
  <si>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</si>
  <si>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</si>
  <si>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</si>
  <si>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</si>
  <si>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</si>
  <si>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</si>
  <si>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</si>
  <si>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</si>
  <si>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</si>
  <si>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</si>
  <si>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</si>
  <si>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</si>
  <si>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</si>
  <si>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</si>
  <si>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</si>
  <si>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</si>
  <si>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</si>
  <si>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</si>
  <si>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</si>
  <si>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</si>
  <si>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</si>
  <si>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</si>
  <si>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</si>
  <si>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</si>
  <si>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</si>
  <si>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</si>
  <si>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</si>
  <si>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</si>
  <si>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</si>
  <si>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</si>
  <si>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</si>
  <si>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</si>
  <si>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</si>
  <si>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</si>
  <si>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</si>
  <si>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</si>
  <si>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</si>
  <si>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</si>
  <si>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</si>
  <si>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</si>
  <si>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</si>
  <si>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</si>
  <si>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</si>
  <si>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</si>
  <si>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</si>
  <si>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</si>
  <si>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</si>
  <si>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</si>
  <si>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</si>
  <si>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</si>
  <si>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</si>
  <si>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</si>
  <si>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</si>
  <si>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</si>
  <si>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</si>
  <si>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</si>
  <si>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</si>
  <si>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</si>
  <si>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</si>
  <si>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</si>
  <si>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</si>
  <si>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</si>
  <si>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</si>
  <si>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</si>
  <si>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</si>
  <si>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</si>
  <si>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</si>
  <si>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</si>
  <si>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</si>
  <si>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</si>
  <si>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</si>
  <si>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</si>
  <si>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</si>
  <si>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</si>
  <si>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</si>
  <si>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</si>
  <si>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</si>
  <si>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</si>
  <si>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</si>
  <si>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</si>
  <si>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</si>
  <si>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</si>
  <si>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</si>
  <si>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</si>
  <si>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</si>
  <si>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</si>
  <si>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</si>
  <si>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</si>
  <si>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</si>
  <si>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</si>
  <si>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</si>
  <si>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</si>
  <si>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</si>
  <si>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</si>
  <si>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</si>
  <si>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</si>
  <si>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</si>
  <si>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</si>
  <si>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</si>
  <si>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</si>
  <si>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</si>
  <si>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</si>
  <si>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</si>
  <si>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</si>
  <si>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</si>
  <si>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</si>
  <si>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</si>
  <si>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</si>
  <si>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</si>
  <si>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</si>
  <si>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</si>
  <si>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</si>
  <si>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</si>
  <si>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</si>
  <si>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</si>
  <si>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</si>
  <si>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</si>
  <si>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</si>
  <si>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</si>
  <si>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</si>
  <si>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</si>
  <si>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</si>
  <si>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</si>
  <si>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</si>
  <si>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</si>
  <si>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</si>
  <si>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</si>
  <si>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</si>
  <si>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</si>
  <si>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</si>
  <si>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</si>
  <si>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</si>
  <si>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</si>
  <si>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</si>
  <si>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</si>
  <si>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</si>
  <si>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</si>
  <si>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</si>
  <si>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</si>
  <si>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</si>
  <si>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</si>
  <si>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</si>
  <si>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</si>
  <si>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</si>
  <si>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</si>
  <si>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</si>
  <si>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</si>
  <si>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</si>
  <si>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</si>
  <si>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</si>
  <si>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</si>
  <si>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</si>
  <si>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</si>
  <si>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</si>
  <si>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</si>
  <si>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</si>
  <si>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</si>
  <si>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</si>
  <si>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</si>
  <si>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</si>
  <si>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</si>
  <si>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</si>
  <si>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</si>
  <si>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</si>
  <si>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</si>
  <si>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</si>
  <si>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</si>
  <si>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</si>
  <si>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</si>
  <si>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</si>
  <si>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</si>
  <si>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</si>
  <si>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</si>
  <si>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</si>
  <si>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</si>
  <si>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</si>
  <si>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</si>
  <si>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</si>
  <si>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</si>
  <si>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</si>
  <si>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</si>
  <si>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</si>
  <si>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</si>
  <si>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</si>
  <si>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</si>
  <si>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</si>
  <si>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</si>
  <si>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</si>
  <si>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</si>
  <si>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</si>
  <si>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</si>
  <si>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</si>
  <si>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</si>
  <si>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</si>
  <si>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</si>
  <si>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</si>
  <si>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</si>
  <si>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</si>
  <si>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</si>
  <si>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</si>
  <si>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</si>
  <si>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</si>
  <si>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</si>
  <si>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</si>
  <si>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</si>
  <si>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</si>
  <si>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</si>
  <si>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</si>
  <si>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</si>
  <si>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</si>
  <si>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</si>
  <si>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</si>
  <si>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</si>
  <si>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</si>
  <si>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</si>
  <si>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</si>
  <si>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</si>
  <si>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</si>
  <si>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</si>
  <si>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</si>
  <si>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</si>
  <si>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</si>
  <si>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</si>
  <si>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</si>
  <si>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</si>
  <si>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</si>
  <si>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</si>
  <si>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</si>
  <si>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</si>
  <si>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</si>
  <si>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</si>
  <si>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</si>
  <si>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</si>
  <si>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</si>
  <si>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</si>
  <si>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</si>
  <si>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</si>
  <si>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</si>
  <si>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</si>
  <si>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</si>
  <si>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</si>
  <si>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</si>
  <si>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</si>
  <si>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</si>
  <si>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</si>
  <si>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</si>
  <si>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</si>
  <si>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</si>
  <si>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</si>
  <si>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</si>
  <si>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</si>
  <si>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</si>
  <si>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</si>
  <si>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</si>
  <si>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</si>
  <si>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</si>
  <si>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</si>
  <si>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</si>
  <si>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</si>
  <si>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</si>
  <si>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</si>
  <si>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</si>
  <si>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</si>
  <si>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</si>
  <si>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</si>
  <si>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</si>
  <si>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</si>
  <si>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</si>
  <si>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</si>
  <si>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</si>
  <si>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</si>
  <si>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</si>
  <si>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</si>
  <si>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</si>
  <si>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</si>
  <si>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</si>
  <si>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</si>
  <si>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</si>
  <si>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</si>
  <si>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</si>
  <si>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</si>
  <si>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</si>
  <si>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</si>
  <si>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</si>
  <si>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</si>
  <si>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</si>
  <si>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</si>
  <si>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</si>
  <si>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</si>
  <si>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</si>
  <si>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</si>
  <si>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</si>
  <si>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</si>
  <si>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</si>
  <si>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</si>
  <si>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</si>
  <si>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</si>
  <si>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</si>
  <si>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</si>
  <si>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</si>
  <si>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</si>
  <si>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</si>
  <si>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</si>
  <si>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</si>
  <si>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</si>
  <si>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</si>
  <si>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</si>
  <si>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</si>
  <si>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</si>
  <si>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</si>
  <si>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</si>
  <si>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</si>
  <si>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</si>
  <si>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</si>
  <si>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</si>
  <si>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</si>
  <si>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</si>
  <si>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</si>
  <si>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</si>
  <si>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</si>
  <si>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</si>
  <si>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</si>
  <si>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</si>
  <si>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</si>
  <si>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</si>
  <si>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</si>
  <si>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</si>
  <si>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</si>
  <si>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</si>
  <si>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</si>
  <si>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</si>
  <si>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</si>
  <si>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</si>
  <si>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</si>
  <si>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</si>
  <si>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</si>
  <si>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</si>
  <si>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</si>
  <si>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</si>
  <si>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</si>
  <si>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</si>
  <si>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</si>
  <si>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</si>
  <si>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</si>
  <si>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</si>
  <si>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</si>
  <si>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</si>
  <si>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</si>
  <si>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</si>
  <si>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</si>
  <si>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</si>
  <si>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</si>
  <si>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</si>
  <si>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</si>
  <si>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</si>
  <si>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</si>
  <si>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</si>
  <si>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</si>
  <si>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</si>
  <si>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</si>
  <si>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</si>
  <si>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</si>
  <si>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</si>
  <si>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</si>
  <si>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</si>
  <si>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</si>
  <si>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</si>
  <si>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</si>
  <si>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</si>
  <si>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</si>
  <si>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</si>
  <si>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</si>
  <si>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</si>
  <si>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</si>
  <si>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</si>
  <si>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</si>
  <si>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</si>
  <si>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</si>
  <si>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</si>
  <si>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</si>
  <si>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</si>
  <si>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</si>
  <si>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</si>
  <si>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</si>
  <si>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</si>
  <si>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</si>
  <si>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</si>
  <si>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</si>
  <si>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</si>
  <si>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</si>
  <si>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</si>
  <si>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</si>
  <si>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</si>
  <si>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</si>
  <si>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</si>
  <si>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</si>
  <si>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</si>
  <si>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</si>
  <si>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</si>
  <si>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</si>
  <si>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</si>
  <si>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</si>
  <si>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</si>
  <si>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</si>
  <si>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</si>
  <si>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</si>
  <si>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</si>
  <si>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</si>
  <si>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</si>
  <si>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</si>
  <si>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</si>
  <si>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</si>
  <si>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</si>
  <si>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</si>
  <si>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</si>
  <si>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</si>
  <si>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</si>
  <si>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</si>
  <si>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</si>
  <si>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</si>
  <si>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</si>
  <si>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</si>
  <si>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</si>
  <si>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</si>
  <si>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</si>
  <si>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</si>
  <si>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</si>
  <si>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</si>
  <si>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</si>
  <si>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</si>
  <si>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</si>
  <si>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</si>
  <si>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</si>
  <si>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</si>
  <si>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</si>
  <si>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</si>
  <si>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</si>
  <si>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</si>
  <si>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</si>
  <si>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</si>
  <si>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</si>
  <si>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</si>
  <si>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</si>
  <si>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</si>
  <si>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</si>
  <si>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</si>
  <si>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</si>
  <si>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</si>
  <si>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</si>
  <si>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</si>
  <si>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</si>
  <si>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</si>
  <si>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</si>
  <si>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</si>
  <si>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</si>
  <si>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</si>
  <si>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</si>
  <si>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</si>
  <si>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</si>
  <si>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</si>
  <si>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</si>
  <si>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</si>
  <si>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</si>
  <si>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</si>
  <si>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</si>
  <si>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</si>
  <si>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</si>
  <si>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</si>
  <si>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</si>
  <si>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</si>
  <si>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</si>
  <si>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</si>
  <si>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</si>
  <si>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</si>
  <si>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</si>
  <si>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</si>
  <si>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</si>
  <si>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</si>
  <si>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</si>
  <si>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</si>
  <si>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</si>
  <si>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</si>
  <si>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</si>
  <si>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</si>
  <si>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</si>
  <si>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</si>
  <si>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</si>
  <si>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</si>
  <si>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</si>
  <si>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</si>
  <si>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</si>
  <si>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</si>
  <si>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</si>
  <si>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</si>
  <si>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</si>
  <si>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</si>
  <si>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</si>
  <si>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</si>
  <si>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</si>
  <si>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</si>
  <si>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</si>
  <si>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</si>
  <si>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</si>
  <si>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</si>
  <si>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</si>
  <si>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</si>
  <si>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</si>
  <si>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</si>
  <si>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</si>
  <si>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</si>
  <si>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</si>
  <si>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</si>
  <si>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</si>
  <si>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</si>
  <si>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</si>
  <si>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</si>
  <si>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</si>
  <si>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</si>
  <si>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</si>
  <si>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</si>
  <si>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</si>
  <si>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</si>
  <si>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</si>
  <si>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</si>
  <si>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</si>
  <si>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</si>
  <si>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</si>
  <si>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</si>
  <si>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</si>
  <si>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</si>
  <si>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</si>
  <si>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</si>
  <si>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</si>
  <si>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</si>
  <si>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</si>
  <si>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</si>
  <si>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</si>
  <si>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</si>
  <si>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</si>
  <si>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</si>
  <si>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</si>
  <si>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</si>
  <si>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</si>
  <si>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</si>
  <si>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</si>
  <si>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</si>
  <si>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</si>
  <si>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</si>
  <si>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</si>
  <si>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</si>
  <si>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</si>
  <si>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</si>
  <si>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</si>
  <si>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</si>
  <si>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</si>
  <si>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</si>
  <si>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</si>
  <si>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</si>
  <si>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</si>
  <si>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</si>
  <si>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</si>
  <si>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</si>
  <si>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</si>
  <si>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</si>
  <si>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</si>
  <si>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</si>
  <si>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</si>
  <si>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</si>
  <si>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</si>
  <si>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</si>
  <si>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</si>
  <si>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</si>
  <si>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</si>
  <si>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</si>
  <si>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</si>
  <si>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</si>
  <si>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</si>
  <si>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</si>
  <si>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</si>
  <si>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</si>
  <si>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</si>
  <si>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</si>
  <si>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</si>
  <si>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</si>
  <si>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</si>
  <si>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</si>
  <si>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</si>
  <si>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</si>
  <si>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</si>
  <si>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</si>
  <si>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</si>
  <si>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</si>
  <si>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</si>
  <si>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</si>
  <si>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</si>
  <si>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</si>
  <si>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</si>
  <si>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</si>
  <si>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</si>
  <si>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</si>
  <si>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</si>
  <si>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</si>
  <si>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</si>
  <si>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</si>
  <si>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</si>
  <si>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</si>
  <si>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</si>
  <si>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</si>
  <si>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</si>
  <si>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</si>
  <si>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</si>
  <si>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</si>
  <si>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</si>
  <si>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</si>
  <si>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</si>
  <si>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</si>
  <si>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</si>
  <si>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</si>
  <si>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</si>
  <si>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</si>
  <si>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</si>
  <si>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</si>
  <si>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</si>
  <si>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</si>
  <si>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</si>
  <si>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</si>
  <si>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</si>
  <si>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</si>
  <si>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</si>
  <si>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</si>
  <si>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</si>
  <si>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</si>
  <si>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</si>
  <si>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</si>
  <si>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</si>
  <si>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</si>
  <si>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</si>
  <si>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</si>
  <si>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</si>
  <si>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</si>
  <si>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</si>
  <si>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</si>
  <si>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</si>
  <si>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</si>
  <si>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</si>
  <si>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</si>
  <si>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</si>
  <si>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</si>
  <si>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</si>
  <si>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</si>
  <si>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</si>
  <si>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</si>
  <si>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</si>
  <si>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</si>
  <si>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</si>
  <si>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</si>
  <si>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</si>
  <si>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</si>
  <si>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</si>
  <si>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</si>
  <si>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</si>
  <si>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</si>
  <si>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</si>
  <si>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</si>
  <si>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</si>
  <si>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</si>
  <si>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</si>
  <si>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</si>
  <si>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</si>
  <si>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</si>
  <si>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</si>
  <si>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</si>
  <si>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</si>
  <si>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</si>
  <si>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</si>
  <si>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</si>
  <si>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</si>
  <si>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</si>
  <si>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</si>
  <si>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</si>
  <si>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</si>
  <si>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</si>
  <si>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</si>
  <si>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</si>
  <si>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</si>
  <si>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</si>
  <si>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</si>
  <si>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</si>
  <si>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</si>
  <si>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</si>
  <si>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</si>
  <si>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</si>
  <si>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</si>
  <si>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</si>
  <si>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</si>
  <si>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</si>
  <si>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</si>
  <si>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</si>
  <si>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</si>
  <si>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</si>
  <si>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</si>
  <si>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</si>
  <si>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</si>
  <si>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</si>
  <si>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</si>
  <si>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</si>
  <si>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</si>
  <si>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</si>
  <si>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</si>
  <si>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</si>
  <si>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</si>
  <si>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</si>
  <si>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</si>
  <si>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</si>
  <si>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</si>
  <si>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</si>
  <si>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</si>
  <si>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</si>
  <si>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</si>
  <si>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</si>
  <si>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</si>
  <si>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</si>
  <si>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</si>
  <si>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</si>
  <si>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</si>
  <si>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</si>
  <si>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</si>
  <si>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</si>
  <si>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</si>
  <si>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</si>
  <si>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</si>
  <si>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</si>
  <si>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</si>
  <si>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</si>
  <si>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</si>
  <si>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</si>
  <si>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</si>
  <si>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</si>
  <si>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</si>
  <si>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</si>
  <si>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</si>
  <si>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</si>
  <si>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</si>
  <si>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</si>
  <si>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</si>
  <si>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</si>
  <si>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</si>
  <si>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</si>
  <si>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</si>
  <si>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</si>
  <si>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</si>
  <si>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</si>
  <si>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</si>
  <si>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</si>
  <si>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</si>
  <si>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</si>
  <si>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</si>
  <si>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</si>
  <si>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</si>
  <si>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</si>
  <si>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</si>
  <si>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</si>
  <si>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</si>
  <si>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</si>
  <si>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</si>
  <si>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</si>
  <si>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</si>
  <si>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</si>
  <si>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</si>
  <si>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</si>
  <si>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</si>
  <si>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</si>
  <si>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</si>
  <si>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</si>
  <si>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</si>
  <si>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</si>
  <si>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</si>
  <si>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</si>
  <si>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</si>
  <si>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</si>
  <si>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</si>
  <si>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</si>
  <si>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</si>
  <si>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</si>
  <si>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</si>
  <si>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</si>
  <si>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</si>
  <si>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</si>
  <si>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</si>
  <si>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</si>
  <si>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</si>
  <si>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</si>
  <si>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</si>
  <si>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</si>
  <si>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</si>
  <si>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</si>
  <si>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</si>
  <si>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</si>
  <si>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</si>
  <si>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</si>
  <si>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</si>
  <si>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</si>
  <si>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</si>
  <si>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</si>
  <si>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</si>
  <si>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</si>
  <si>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</si>
  <si>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</si>
  <si>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</si>
  <si>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</si>
  <si>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</si>
  <si>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</si>
  <si>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</si>
  <si>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</si>
  <si>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</si>
  <si>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</si>
  <si>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</si>
  <si>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</si>
  <si>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</si>
  <si>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</si>
  <si>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</si>
  <si>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</si>
  <si>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</si>
  <si>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</si>
  <si>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</si>
  <si>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</si>
  <si>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</si>
  <si>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</si>
  <si>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</si>
  <si>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</si>
  <si>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</si>
  <si>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</si>
  <si>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</si>
  <si>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</si>
  <si>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</si>
  <si>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</si>
  <si>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</si>
  <si>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</si>
  <si>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</si>
  <si>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</si>
  <si>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</si>
  <si>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</si>
  <si>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</si>
  <si>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</si>
  <si>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</si>
  <si>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</si>
  <si>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</si>
  <si>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</si>
  <si>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</si>
  <si>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</si>
  <si>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</si>
  <si>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</si>
  <si>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</si>
  <si>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</si>
  <si>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</si>
  <si>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</si>
  <si>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</si>
  <si>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</si>
  <si>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</si>
  <si>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</si>
  <si>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</si>
  <si>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</si>
  <si>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</si>
  <si>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</si>
  <si>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</si>
  <si>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</si>
  <si>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</si>
  <si>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</si>
  <si>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</si>
  <si>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</si>
  <si>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</si>
  <si>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</si>
  <si>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</si>
  <si>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</si>
  <si>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</si>
  <si>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</si>
  <si>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</si>
  <si>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</si>
  <si>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</si>
  <si>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</si>
  <si>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</si>
  <si>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</si>
  <si>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</si>
  <si>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</si>
  <si>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</si>
  <si>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</si>
  <si>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</si>
  <si>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</si>
  <si>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</si>
  <si>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</si>
  <si>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</si>
  <si>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</si>
  <si>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</si>
  <si>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</si>
  <si>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</si>
  <si>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</si>
  <si>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</si>
  <si>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</si>
  <si>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</si>
  <si>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</si>
  <si>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</si>
  <si>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</si>
  <si>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</si>
  <si>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</si>
  <si>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</si>
  <si>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</si>
  <si>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</si>
  <si>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</si>
  <si>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</si>
  <si>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</si>
  <si>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</si>
  <si>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</si>
  <si>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</si>
  <si>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</si>
  <si>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</si>
  <si>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</si>
  <si>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</si>
  <si>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</si>
  <si>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</si>
  <si>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</si>
  <si>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</si>
  <si>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</si>
  <si>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</si>
  <si>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</si>
  <si>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</si>
  <si>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</si>
  <si>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</si>
  <si>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</si>
  <si>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</si>
  <si>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</si>
  <si>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</si>
  <si>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</si>
  <si>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</si>
  <si>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</si>
  <si>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</si>
  <si>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</si>
  <si>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</si>
  <si>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</si>
  <si>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</si>
  <si>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</si>
  <si>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</si>
  <si>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</si>
  <si>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</si>
  <si>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</si>
  <si>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</si>
  <si>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</si>
  <si>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</si>
  <si>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</si>
  <si>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</si>
  <si>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</si>
  <si>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</si>
  <si>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</si>
  <si>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</si>
  <si>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</si>
  <si>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</si>
  <si>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</si>
  <si>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</si>
  <si>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</si>
  <si>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</si>
  <si>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</si>
  <si>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</si>
  <si>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</si>
  <si>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</si>
  <si>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</si>
  <si>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</si>
  <si>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</si>
  <si>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</si>
  <si>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</si>
  <si>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</si>
  <si>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</si>
  <si>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</si>
  <si>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</si>
  <si>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</si>
  <si>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</si>
  <si>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</si>
  <si>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</si>
  <si>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</si>
  <si>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</si>
  <si>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</si>
  <si>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</si>
  <si>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</si>
  <si>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</si>
  <si>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</si>
  <si>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</si>
  <si>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</si>
  <si>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</si>
  <si>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</si>
  <si>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</si>
  <si>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</si>
  <si>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</si>
  <si>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</si>
  <si>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</si>
  <si>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</si>
  <si>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</si>
  <si>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</si>
  <si>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</si>
  <si>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</si>
  <si>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</si>
  <si>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</si>
  <si>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</si>
  <si>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</si>
  <si>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</si>
  <si>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</si>
  <si>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</si>
  <si>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</si>
  <si>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</si>
  <si>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</si>
  <si>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</si>
  <si>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</si>
  <si>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</si>
  <si>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</si>
  <si>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</si>
  <si>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</si>
  <si>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</si>
  <si>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</si>
  <si>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</si>
  <si>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</si>
  <si>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</si>
  <si>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</si>
  <si>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</si>
  <si>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</si>
  <si>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</si>
  <si>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</si>
  <si>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</si>
  <si>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</si>
  <si>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</si>
  <si>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</si>
  <si>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</si>
  <si>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</si>
  <si>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</si>
  <si>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</si>
  <si>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</si>
  <si>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</si>
  <si>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</si>
  <si>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</si>
  <si>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</si>
  <si>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</si>
  <si>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</si>
  <si>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</si>
  <si>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</si>
  <si>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</si>
  <si>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</si>
  <si>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</si>
  <si>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</si>
  <si>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</si>
  <si>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</si>
  <si>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</si>
  <si>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</si>
  <si>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</si>
  <si>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</si>
  <si>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</si>
  <si>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</si>
  <si>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</si>
  <si>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</si>
  <si>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</si>
  <si>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</si>
  <si>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</si>
  <si>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</si>
  <si>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</si>
  <si>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</si>
  <si>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</si>
  <si>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</si>
  <si>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</si>
  <si>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</si>
  <si>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</si>
  <si>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</si>
  <si>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</si>
  <si>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</si>
  <si>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</si>
  <si>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</si>
  <si>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</si>
  <si>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</si>
  <si>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</si>
  <si>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</si>
  <si>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</si>
  <si>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</si>
  <si>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</si>
  <si>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</si>
  <si>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</si>
  <si>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</si>
  <si>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</si>
  <si>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</si>
  <si>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</si>
  <si>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</si>
  <si>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</si>
  <si>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</si>
  <si>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</si>
  <si>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</si>
  <si>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</si>
  <si>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</si>
  <si>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</si>
  <si>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</si>
  <si>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</si>
  <si>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</si>
  <si>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</si>
  <si>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</si>
  <si>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</si>
  <si>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</si>
  <si>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</si>
  <si>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</si>
  <si>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</si>
  <si>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</si>
  <si>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</si>
  <si>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</si>
  <si>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</si>
  <si>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</si>
  <si>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</si>
  <si>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</si>
  <si>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</si>
  <si>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</si>
  <si>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</si>
  <si>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</si>
  <si>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</si>
  <si>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</si>
  <si>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</si>
  <si>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</si>
  <si>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</si>
  <si>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</si>
  <si>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</si>
  <si>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</si>
  <si>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</si>
  <si>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</si>
  <si>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</si>
  <si>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</si>
  <si>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</si>
  <si>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</si>
  <si>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</si>
  <si>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</si>
  <si>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</si>
  <si>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</si>
  <si>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</si>
  <si>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</si>
  <si>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</si>
  <si>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</si>
  <si>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</si>
  <si>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</si>
  <si>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</si>
  <si>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</si>
  <si>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</si>
  <si>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</si>
  <si>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</si>
  <si>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</si>
  <si>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</si>
  <si>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</si>
  <si>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</si>
  <si>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</si>
  <si>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</si>
  <si>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</si>
  <si>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</si>
  <si>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</si>
  <si>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</si>
  <si>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</si>
  <si>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</si>
  <si>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</si>
  <si>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</si>
  <si>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</si>
  <si>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</si>
  <si>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</si>
  <si>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</si>
  <si>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</si>
  <si>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</si>
  <si>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</si>
  <si>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</si>
  <si>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</si>
  <si>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</si>
  <si>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</si>
  <si>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</si>
  <si>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</si>
  <si>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</si>
  <si>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</si>
  <si>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</si>
  <si>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</si>
  <si>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</si>
  <si>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</si>
  <si>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</si>
  <si>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</si>
  <si>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</si>
  <si>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</si>
  <si>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</si>
  <si>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</si>
  <si>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</si>
  <si>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</si>
  <si>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</si>
  <si>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</si>
  <si>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</si>
  <si>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</si>
  <si>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</si>
  <si>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</si>
  <si>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</si>
  <si>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</si>
  <si>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</si>
  <si>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</si>
  <si>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</si>
  <si>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</si>
  <si>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</si>
  <si>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</si>
  <si>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</si>
  <si>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</si>
  <si>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</si>
  <si>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</si>
  <si>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</si>
  <si>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</si>
  <si>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</si>
  <si>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</si>
  <si>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</si>
  <si>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</si>
  <si>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</si>
  <si>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</si>
  <si>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</si>
  <si>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</si>
  <si>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</si>
  <si>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</si>
  <si>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</si>
  <si>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</si>
  <si>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</si>
  <si>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</si>
  <si>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</si>
  <si>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</si>
  <si>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</si>
  <si>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</si>
  <si>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</si>
  <si>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</si>
  <si>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</si>
  <si>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</si>
  <si>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</si>
  <si>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</si>
  <si>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</si>
  <si>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</si>
  <si>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</si>
  <si>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</si>
  <si>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</si>
  <si>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</si>
  <si>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</si>
  <si>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</si>
  <si>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</si>
  <si>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</si>
  <si>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</si>
  <si>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</si>
  <si>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</si>
  <si>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</si>
  <si>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</si>
  <si>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</si>
  <si>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</si>
  <si>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</si>
  <si>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</si>
  <si>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</si>
  <si>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</si>
  <si>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</si>
  <si>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</si>
  <si>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</si>
  <si>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</si>
  <si>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</si>
  <si>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</si>
  <si>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</si>
  <si>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</si>
  <si>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</si>
  <si>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</si>
  <si>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</si>
  <si>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</si>
  <si>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</si>
  <si>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</si>
  <si>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</si>
  <si>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</si>
  <si>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</si>
  <si>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</si>
  <si>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</si>
  <si>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</si>
  <si>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</si>
  <si>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</si>
  <si>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</si>
  <si>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</si>
  <si>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</si>
  <si>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</si>
  <si>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</si>
  <si>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</si>
  <si>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</si>
  <si>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</si>
  <si>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</si>
  <si>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</si>
  <si>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</si>
  <si>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</si>
  <si>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</si>
  <si>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</si>
  <si>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</si>
  <si>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</si>
  <si>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</si>
  <si>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</si>
  <si>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</si>
  <si>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</si>
  <si>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</si>
  <si>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</si>
  <si>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</si>
  <si>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</si>
  <si>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</si>
  <si>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</si>
  <si>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</si>
  <si>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</si>
  <si>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</si>
  <si>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</si>
  <si>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</si>
  <si>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</si>
  <si>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</si>
  <si>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</si>
  <si>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</si>
  <si>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</si>
  <si>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</si>
  <si>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</si>
  <si>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</si>
  <si>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</si>
  <si>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</si>
  <si>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</si>
  <si>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</si>
  <si>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</si>
  <si>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</si>
  <si>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</si>
  <si>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</si>
  <si>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</si>
  <si>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</si>
  <si>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</si>
  <si>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</si>
  <si>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</si>
  <si>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</si>
  <si>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</si>
  <si>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</si>
  <si>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</si>
  <si>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</si>
  <si>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</si>
  <si>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</si>
  <si>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</si>
  <si>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</si>
  <si>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</si>
  <si>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</si>
  <si>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</si>
  <si>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</si>
  <si>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</si>
  <si>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</si>
  <si>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</si>
  <si>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</si>
  <si>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</si>
  <si>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</si>
  <si>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</si>
  <si>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</si>
  <si>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</si>
  <si>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</si>
  <si>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</si>
  <si>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</si>
  <si>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</si>
  <si>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</si>
  <si>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</si>
  <si>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</si>
  <si>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</si>
  <si>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</si>
  <si>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</si>
  <si>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</si>
  <si>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</si>
  <si>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</si>
  <si>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</si>
  <si>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</si>
  <si>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</si>
  <si>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</si>
  <si>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</si>
  <si>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</si>
  <si>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</si>
  <si>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</si>
  <si>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</si>
  <si>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</si>
  <si>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</si>
  <si>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</si>
  <si>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</si>
  <si>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</si>
  <si>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</si>
  <si>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</si>
  <si>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</si>
  <si>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</si>
  <si>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</si>
  <si>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</si>
  <si>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</si>
  <si>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</si>
  <si>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</si>
  <si>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</si>
  <si>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</si>
  <si>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</si>
  <si>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</si>
  <si>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</si>
  <si>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</si>
  <si>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</si>
  <si>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</si>
  <si>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</si>
  <si>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</si>
  <si>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</si>
  <si>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</si>
  <si>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</si>
  <si>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</si>
  <si>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</si>
  <si>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</si>
  <si>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</si>
  <si>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</si>
  <si>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</si>
  <si>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</si>
  <si>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</si>
  <si>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</si>
  <si>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</si>
  <si>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</si>
  <si>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</si>
  <si>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</si>
  <si>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</si>
  <si>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</si>
  <si>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</si>
  <si>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</si>
  <si>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</si>
  <si>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</si>
  <si>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</si>
  <si>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</si>
  <si>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</si>
  <si>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</si>
  <si>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</si>
  <si>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</si>
  <si>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</si>
  <si>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</si>
  <si>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</si>
  <si>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</si>
  <si>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</si>
  <si>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</si>
  <si>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</si>
  <si>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</si>
  <si>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</si>
  <si>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</si>
  <si>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</si>
  <si>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</si>
  <si>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</si>
  <si>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</si>
  <si>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</si>
  <si>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</si>
  <si>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</si>
  <si>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</si>
  <si>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</si>
  <si>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</si>
  <si>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</si>
  <si>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</si>
  <si>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</si>
  <si>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</si>
  <si>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</si>
  <si>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</si>
  <si>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</si>
  <si>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</si>
  <si>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</si>
  <si>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</si>
  <si>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</si>
  <si>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</si>
  <si>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</si>
  <si>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</si>
  <si>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</si>
  <si>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</si>
  <si>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</si>
  <si>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</si>
  <si>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</si>
  <si>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</si>
  <si>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</si>
  <si>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</si>
  <si>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</si>
  <si>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</si>
  <si>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</si>
  <si>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</si>
  <si>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</si>
  <si>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</si>
  <si>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</si>
  <si>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</si>
  <si>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</si>
  <si>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</si>
  <si>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</si>
  <si>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</si>
  <si>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</si>
  <si>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</si>
  <si>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</si>
  <si>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</si>
  <si>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</si>
  <si>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</si>
  <si>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</si>
  <si>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</si>
  <si>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</si>
  <si>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</si>
  <si>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</si>
  <si>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</si>
  <si>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</si>
  <si>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</si>
  <si>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</si>
  <si>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</si>
  <si>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</si>
  <si>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</si>
  <si>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</si>
  <si>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</si>
  <si>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</si>
  <si>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</si>
  <si>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</si>
  <si>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</si>
  <si>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</si>
  <si>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</si>
  <si>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</si>
  <si>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</si>
  <si>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</si>
  <si>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</si>
  <si>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</si>
  <si>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</si>
  <si>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</si>
  <si>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</si>
  <si>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</si>
  <si>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</si>
  <si>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</si>
  <si>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</si>
  <si>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</si>
  <si>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</si>
  <si>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</si>
  <si>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</si>
  <si>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</si>
  <si>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</si>
  <si>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</si>
  <si>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</si>
  <si>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</si>
  <si>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</si>
  <si>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</si>
  <si>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</si>
  <si>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</si>
  <si>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</si>
  <si>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</si>
  <si>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</si>
  <si>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</si>
  <si>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</si>
  <si>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</si>
  <si>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</si>
  <si>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</si>
  <si>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</si>
  <si>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</si>
  <si>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</si>
  <si>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</si>
  <si>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</si>
  <si>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</si>
  <si>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</si>
  <si>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</si>
  <si>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</si>
  <si>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</si>
  <si>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</si>
  <si>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</si>
  <si>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</si>
  <si>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</si>
  <si>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</si>
  <si>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</si>
  <si>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</si>
  <si>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</si>
  <si>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</si>
  <si>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</si>
  <si>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</si>
  <si>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</si>
  <si>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</si>
  <si>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</si>
  <si>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</si>
  <si>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</si>
  <si>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</si>
  <si>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</si>
  <si>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</si>
  <si>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</si>
  <si>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</si>
  <si>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</si>
  <si>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</si>
  <si>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</si>
  <si>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</si>
  <si>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</si>
  <si>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</si>
  <si>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</si>
  <si>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</si>
  <si>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</si>
  <si>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</si>
  <si>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</si>
  <si>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</si>
  <si>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</si>
  <si>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</si>
  <si>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</si>
  <si>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</si>
  <si>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</si>
  <si>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</si>
  <si>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</si>
  <si>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</si>
  <si>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</si>
  <si>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</si>
  <si>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</si>
  <si>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</si>
  <si>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</si>
  <si>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</si>
  <si>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</si>
  <si>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</si>
  <si>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</si>
  <si>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</si>
  <si>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</si>
  <si>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</si>
  <si>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</si>
  <si>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</si>
  <si>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</si>
  <si>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</si>
  <si>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</si>
  <si>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</si>
  <si>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</si>
  <si>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</si>
  <si>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</si>
  <si>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</si>
  <si>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</si>
  <si>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</si>
  <si>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</si>
  <si>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</si>
  <si>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</si>
  <si>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</si>
  <si>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</si>
  <si>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</si>
  <si>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</si>
  <si>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</si>
  <si>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</si>
  <si>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</si>
  <si>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</si>
  <si>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</si>
  <si>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</si>
  <si>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</si>
  <si>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</si>
  <si>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</si>
  <si>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</si>
  <si>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</si>
  <si>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</si>
  <si>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</si>
  <si>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</si>
  <si>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</si>
  <si>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</si>
  <si>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</si>
  <si>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</si>
  <si>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</si>
  <si>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</si>
  <si>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</si>
  <si>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</si>
  <si>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</si>
  <si>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</si>
  <si>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</si>
  <si>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</si>
  <si>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</si>
  <si>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</si>
  <si>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</si>
  <si>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</si>
  <si>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</si>
  <si>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</si>
  <si>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</si>
  <si>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</si>
  <si>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</si>
  <si>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</si>
  <si>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</si>
  <si>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</si>
  <si>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</si>
  <si>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</si>
  <si>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</si>
  <si>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</si>
  <si>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</si>
  <si>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</si>
  <si>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</si>
  <si>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</si>
  <si>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</si>
  <si>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</si>
  <si>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</si>
  <si>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</si>
  <si>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</si>
  <si>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</si>
  <si>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</si>
  <si>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</si>
  <si>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</si>
  <si>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</si>
  <si>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</si>
  <si>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</si>
  <si>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</si>
  <si>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</si>
  <si>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</si>
  <si>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</si>
  <si>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</si>
  <si>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</si>
  <si>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</si>
  <si>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</si>
  <si>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</si>
  <si>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</si>
  <si>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</si>
  <si>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</si>
  <si>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</si>
  <si>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</si>
  <si>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</si>
  <si>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</si>
  <si>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</si>
  <si>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</si>
  <si>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</si>
  <si>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</si>
  <si>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</si>
  <si>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</si>
  <si>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</si>
  <si>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</si>
  <si>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</si>
  <si>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</si>
  <si>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</si>
  <si>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</si>
  <si>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</si>
  <si>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</si>
  <si>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</si>
  <si>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</si>
  <si>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</si>
  <si>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</si>
  <si>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</si>
  <si>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</si>
  <si>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</si>
  <si>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</si>
  <si>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</si>
  <si>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</si>
  <si>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</si>
  <si>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</si>
  <si>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</si>
  <si>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</si>
  <si>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</si>
  <si>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</si>
  <si>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</si>
  <si>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</si>
  <si>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</si>
  <si>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</si>
  <si>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</si>
  <si>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</si>
  <si>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</si>
  <si>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</si>
  <si>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</si>
  <si>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</si>
  <si>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</si>
  <si>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</si>
  <si>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</si>
  <si>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</si>
  <si>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</si>
  <si>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</si>
  <si>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</si>
  <si>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</si>
  <si>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</si>
  <si>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</si>
  <si>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</si>
  <si>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</si>
  <si>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</si>
  <si>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</si>
  <si>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</si>
  <si>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</si>
  <si>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</si>
  <si>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</si>
  <si>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</si>
  <si>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</si>
  <si>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</si>
  <si>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</si>
  <si>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</si>
  <si>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</si>
  <si>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</si>
  <si>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</si>
  <si>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</si>
  <si>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</si>
  <si>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</si>
  <si>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</si>
  <si>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</si>
  <si>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</si>
  <si>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</si>
  <si>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</si>
  <si>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</si>
  <si>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</si>
  <si>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</si>
  <si>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</si>
  <si>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</si>
  <si>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</si>
  <si>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</si>
  <si>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</si>
  <si>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</si>
  <si>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</si>
  <si>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</si>
  <si>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</si>
  <si>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</si>
  <si>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</si>
  <si>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</si>
  <si>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</si>
  <si>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</si>
  <si>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</si>
  <si>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</si>
  <si>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</si>
  <si>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</si>
  <si>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</si>
  <si>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</si>
  <si>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</si>
  <si>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</si>
  <si>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</si>
  <si>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</si>
  <si>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</si>
  <si>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</si>
  <si>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</si>
  <si>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</si>
  <si>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</si>
  <si>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</si>
  <si>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</si>
  <si>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</si>
  <si>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</si>
  <si>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</si>
  <si>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</si>
  <si>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</si>
  <si>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</si>
  <si>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</si>
  <si>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</si>
  <si>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</si>
  <si>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</si>
  <si>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</si>
  <si>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</si>
  <si>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</si>
  <si>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</si>
  <si>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</si>
  <si>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</si>
  <si>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</si>
  <si>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</si>
  <si>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</si>
  <si>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</si>
  <si>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</si>
  <si>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</si>
  <si>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</si>
  <si>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</si>
  <si>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</si>
  <si>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</si>
  <si>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</si>
  <si>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</si>
  <si>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</si>
  <si>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</si>
  <si>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</si>
  <si>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</si>
  <si>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</si>
  <si>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</si>
  <si>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</si>
  <si>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</si>
  <si>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</si>
  <si>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</si>
  <si>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</si>
  <si>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</si>
  <si>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</si>
  <si>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</si>
  <si>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</si>
  <si>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</si>
  <si>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</si>
  <si>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</si>
  <si>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</si>
  <si>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</si>
  <si>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</si>
  <si>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</si>
  <si>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</si>
  <si>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</si>
  <si>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</si>
  <si>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</si>
  <si>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</si>
  <si>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</si>
  <si>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</si>
  <si>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</si>
  <si>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</si>
  <si>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</si>
  <si>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</si>
  <si>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</si>
  <si>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</si>
  <si>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</si>
  <si>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</si>
  <si>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</si>
  <si>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</si>
  <si>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</si>
  <si>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</si>
  <si>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</si>
  <si>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</si>
  <si>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</si>
  <si>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</si>
  <si>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</si>
  <si>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</si>
  <si>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</si>
  <si>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</si>
  <si>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</si>
  <si>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</si>
  <si>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</si>
  <si>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</si>
  <si>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</si>
  <si>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</si>
  <si>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</si>
  <si>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</si>
  <si>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</si>
  <si>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</si>
  <si>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</si>
  <si>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</si>
  <si>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</si>
  <si>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</si>
  <si>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</si>
  <si>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</si>
  <si>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</si>
  <si>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</si>
  <si>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</si>
  <si>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</si>
  <si>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</si>
  <si>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</si>
  <si>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</si>
  <si>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</si>
  <si>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</si>
  <si>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</si>
  <si>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</si>
  <si>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</si>
  <si>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</si>
  <si>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</si>
  <si>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</si>
  <si>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</si>
  <si>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</si>
  <si>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</si>
  <si>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</si>
  <si>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</si>
  <si>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</si>
  <si>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</si>
  <si>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</si>
  <si>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</si>
  <si>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</si>
  <si>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</si>
  <si>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</si>
  <si>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</si>
  <si>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</si>
  <si>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</si>
  <si>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</si>
  <si>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</si>
  <si>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</si>
  <si>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</si>
  <si>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</si>
  <si>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</si>
  <si>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</si>
  <si>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</si>
  <si>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</si>
  <si>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</si>
  <si>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</si>
  <si>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</si>
  <si>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</si>
  <si>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</si>
  <si>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</si>
  <si>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</si>
  <si>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</si>
  <si>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</si>
  <si>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</si>
  <si>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</si>
  <si>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</si>
  <si>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</si>
  <si>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</si>
  <si>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</si>
  <si>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</si>
  <si>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</si>
  <si>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</si>
  <si>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</si>
  <si>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</si>
  <si>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</si>
  <si>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</si>
  <si>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</si>
  <si>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</si>
  <si>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</si>
  <si>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</si>
  <si>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</si>
  <si>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</si>
  <si>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</si>
  <si>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</si>
  <si>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</si>
  <si>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</si>
  <si>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</si>
  <si>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</si>
  <si>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</si>
  <si>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</si>
  <si>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</si>
  <si>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</si>
  <si>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</si>
  <si>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</si>
  <si>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</si>
  <si>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</si>
  <si>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</si>
  <si>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</si>
  <si>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</si>
  <si>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</si>
  <si>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</si>
  <si>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</si>
  <si>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</si>
  <si>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</si>
  <si>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</si>
  <si>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</si>
  <si>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</si>
  <si>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</si>
  <si>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</si>
  <si>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</si>
  <si>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</si>
  <si>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</si>
  <si>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</si>
  <si>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</si>
  <si>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</si>
  <si>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</si>
  <si>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</si>
  <si>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</si>
  <si>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</si>
  <si>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</si>
  <si>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</si>
  <si>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</si>
  <si>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</si>
  <si>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</si>
  <si>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</si>
  <si>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</si>
  <si>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</si>
  <si>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</si>
  <si>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</si>
  <si>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</si>
  <si>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</si>
  <si>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</si>
  <si>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</si>
  <si>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</si>
  <si>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</si>
  <si>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</si>
  <si>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</si>
  <si>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</si>
  <si>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</si>
  <si>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</si>
  <si>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</si>
  <si>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</si>
  <si>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</si>
  <si>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</si>
  <si>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</si>
  <si>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</si>
  <si>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</si>
  <si>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</si>
  <si>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</si>
  <si>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</si>
  <si>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</si>
  <si>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</si>
  <si>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</si>
  <si>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</si>
  <si>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</si>
  <si>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</si>
  <si>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</si>
  <si>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</si>
  <si>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</si>
  <si>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</si>
  <si>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</si>
  <si>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</si>
  <si>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</si>
  <si>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</si>
  <si>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</si>
  <si>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</si>
  <si>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</si>
  <si>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</si>
  <si>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</si>
  <si>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</si>
  <si>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</si>
  <si>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</si>
  <si>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</si>
  <si>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</si>
  <si>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</si>
  <si>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</si>
  <si>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</si>
  <si>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</si>
  <si>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</si>
  <si>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</si>
  <si>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</si>
  <si>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</si>
  <si>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</si>
  <si>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</si>
  <si>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</si>
  <si>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</si>
  <si>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</si>
  <si>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</si>
  <si>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</si>
  <si>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</si>
  <si>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</si>
  <si>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</si>
  <si>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</si>
  <si>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</si>
  <si>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</si>
  <si>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</si>
  <si>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</si>
  <si>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</si>
  <si>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</si>
  <si>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</si>
  <si>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</si>
  <si>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</si>
  <si>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</si>
  <si>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</si>
  <si>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</si>
  <si>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</si>
  <si>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</si>
  <si>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</si>
  <si>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</si>
  <si>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</si>
  <si>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</si>
  <si>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</si>
  <si>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</si>
  <si>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</si>
  <si>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</si>
  <si>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</si>
  <si>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</si>
  <si>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</si>
  <si>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</si>
  <si>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</si>
  <si>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</si>
  <si>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</si>
  <si>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</si>
  <si>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</si>
  <si>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</si>
  <si>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</si>
  <si>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</si>
  <si>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</si>
  <si>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</si>
  <si>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</si>
  <si>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</si>
  <si>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</si>
  <si>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</si>
  <si>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</si>
  <si>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</si>
  <si>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</si>
  <si>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</si>
  <si>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</si>
  <si>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</si>
  <si>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</si>
  <si>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</si>
  <si>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</si>
  <si>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</si>
  <si>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</si>
  <si>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</si>
  <si>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</si>
  <si>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</si>
  <si>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</si>
  <si>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</si>
  <si>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</si>
  <si>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</si>
  <si>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</si>
  <si>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</si>
  <si>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</si>
  <si>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</si>
  <si>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</si>
  <si>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</si>
  <si>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</si>
  <si>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</si>
  <si>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</si>
  <si>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</si>
  <si>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</si>
  <si>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</si>
  <si>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</si>
  <si>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</si>
  <si>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</si>
  <si>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</si>
  <si>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</si>
  <si>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</si>
  <si>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</si>
  <si>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</si>
  <si>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</si>
  <si>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</si>
  <si>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</si>
  <si>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</si>
  <si>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</si>
  <si>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</si>
  <si>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</si>
  <si>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</si>
  <si>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</si>
  <si>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</si>
  <si>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</si>
  <si>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</si>
  <si>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</si>
  <si>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</si>
  <si>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</si>
  <si>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</si>
  <si>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</si>
  <si>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</si>
  <si>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</si>
  <si>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</si>
  <si>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</si>
  <si>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</si>
  <si>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</si>
  <si>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</si>
  <si>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</si>
  <si>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</si>
  <si>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</si>
  <si>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</si>
  <si>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</si>
  <si>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</si>
  <si>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</si>
  <si>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</si>
  <si>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</si>
  <si>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</si>
  <si>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</si>
  <si>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</si>
  <si>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</si>
  <si>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</si>
  <si>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</si>
  <si>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</si>
  <si>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</si>
  <si>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</si>
  <si>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</si>
  <si>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</si>
  <si>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</si>
  <si>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</si>
  <si>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</si>
  <si>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</si>
  <si>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</si>
  <si>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</si>
  <si>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</si>
  <si>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</si>
  <si>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</si>
  <si>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</si>
  <si>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</si>
  <si>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Quantity</t>
  </si>
  <si>
    <t>Sum of Amount</t>
  </si>
  <si>
    <t>Average of Days to Deliver</t>
  </si>
  <si>
    <t>Average of Rating C</t>
  </si>
  <si>
    <t>values for the display</t>
  </si>
  <si>
    <t>orders</t>
  </si>
  <si>
    <t>avg day to del</t>
  </si>
  <si>
    <t>quantity</t>
  </si>
  <si>
    <t>amount</t>
  </si>
  <si>
    <t>avg rating</t>
  </si>
  <si>
    <t>Unknown</t>
  </si>
  <si>
    <t>Male</t>
  </si>
  <si>
    <t>Female</t>
  </si>
  <si>
    <t>Other</t>
  </si>
  <si>
    <t>Details for Sum of Amount</t>
  </si>
  <si>
    <t>Row Labels</t>
  </si>
  <si>
    <t>Grand Total</t>
  </si>
  <si>
    <t>Column Labels</t>
  </si>
  <si>
    <t>Count of TX ID</t>
  </si>
  <si>
    <t xml:space="preserve"> </t>
  </si>
  <si>
    <t>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</si>
</sst>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3">
    <border>
      <left/>
      <right/>
      <top/>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right/>
      <top/>
      <bottom style="thin">
        <color theme="4" tint="0.39997558519241921"/>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0" fontId="0" fillId="0" borderId="1" xfId="0" applyNumberFormat="1" applyBorder="1"/>
    <xf numFmtId="0" fontId="1" fillId="3" borderId="2" xfId="0" applyFont="1" applyFill="1" applyBorder="1"/>
    <xf numFmtId="0" fontId="1" fillId="0" borderId="2" xfId="0" applyFont="1" applyBorder="1"/>
    <xf numFmtId="0" fontId="0" fillId="0" borderId="0" xfId="0" applyAlignment="1">
      <alignment horizontal="center" vertical="center"/>
    </xf>
  </cellXfs>
  <cellStyles count="1">
    <cellStyle name="Normal" xfId="0" builtinId="0"/>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[ecommerce-blank.xlsx]KPIs!PivotTable2</c:name>
    <c:fmtId val="8"/>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KPIs!$C$12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KPIs!$B$13:$B$26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KPIs!$C$13:$C$26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3FC-47EA-895D-520088DD2AF8}"/>
            </c:ext>
          </c:extLst>
        </c:ser>
        <c:dLbls>
          <c:showLegendKey val="0"/>
          <c:showVal val="0"/>
          <c:showCatName val="0"/>
          <c:showSerName val="0"/>
          <c:showPercent val="0"/>
          <c:showBubbleSize val="0"/>
        </c:dLbls>
        <c:marker val="1"/>
        <c:smooth val="0"/>
        <c:axId val="263978064"/>
        <c:axId val="263964144"/>
      </c:lineChart>
      <c:lineChart>
        <c:grouping val="standard"/>
        <c:varyColors val="0"/>
        <c:ser>
          <c:idx val="1"/>
          <c:order val="1"/>
          <c:tx>
            <c:strRef>
              <c:f>KPIs!$D$12</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KPIs!$B$13:$B$26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KPIs!$D$13:$D$26</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3FC-47EA-895D-520088DD2AF8}"/>
            </c:ext>
          </c:extLst>
        </c:ser>
        <c:dLbls>
          <c:showLegendKey val="0"/>
          <c:showVal val="0"/>
          <c:showCatName val="0"/>
          <c:showSerName val="0"/>
          <c:showPercent val="0"/>
          <c:showBubbleSize val="0"/>
        </c:dLbls>
        <c:marker val="1"/>
        <c:smooth val="0"/>
        <c:axId val="266121696"/>
        <c:axId val="266127936"/>
      </c:lineChart>
      <c:catAx>
        <c:axId val="2639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64144"/>
        <c:crosses val="autoZero"/>
        <c:auto val="1"/>
        <c:lblAlgn val="ctr"/>
        <c:lblOffset val="100"/>
        <c:noMultiLvlLbl val="0"/>
      </c:catAx>
      <c:valAx>
        <c:axId val="26396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78064"/>
        <c:crosses val="autoZero"/>
        <c:crossBetween val="between"/>
      </c:valAx>
      <c:valAx>
        <c:axId val="266127936"/>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21696"/>
        <c:crosses val="max"/>
        <c:crossBetween val="between"/>
      </c:valAx>
      <c:catAx>
        <c:axId val="266121696"/>
        <c:scaling>
          <c:orientation val="minMax"/>
        </c:scaling>
        <c:delete val="1"/>
        <c:axPos val="b"/>
        <c:numFmt formatCode="General" sourceLinked="1"/>
        <c:majorTickMark val="out"/>
        <c:minorTickMark val="none"/>
        <c:tickLblPos val="nextTo"/>
        <c:crossAx val="2661279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3-7D6E-4DA1-AD6F-E9664F137341}"/>
            </c:ext>
          </c:extLst>
        </c:ser>
        <c:dLbls>
          <c:showLegendKey val="0"/>
          <c:showVal val="0"/>
          <c:showCatName val="0"/>
          <c:showSerName val="0"/>
          <c:showPercent val="0"/>
          <c:showBubbleSize val="0"/>
        </c:dLbls>
        <c:gapWidth val="219"/>
        <c:overlap val="-27"/>
        <c:axId val="135602287"/>
        <c:axId val="135600367"/>
      </c:barChart>
      <c:catAx>
        <c:axId val="1356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0367"/>
        <c:crosses val="autoZero"/>
        <c:auto val="1"/>
        <c:lblAlgn val="ctr"/>
        <c:lblOffset val="100"/>
        <c:noMultiLvlLbl val="0"/>
      </c:catAx>
      <c:valAx>
        <c:axId val="13560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22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Sheet1!$P$2:$P$3</c:f>
              <c:strCache>
                <c:ptCount val="1"/>
                <c:pt idx="0">
                  <c:v>Female</c:v>
                </c:pt>
              </c:strCache>
            </c:strRef>
          </c:tx>
          <c:spPr>
            <a:solidFill>
              <a:schemeClr val="accent1"/>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Sheet1!$P$4:$P$24</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4648-4F97-AEF5-F1528C002286}"/>
            </c:ext>
          </c:extLst>
        </c:ser>
        <c:ser>
          <c:idx val="1"/>
          <c:order val="1"/>
          <c:tx>
            <c:strRef>
              <c:f>Sheet1!$Q$2:$Q$3</c:f>
              <c:strCache>
                <c:ptCount val="1"/>
                <c:pt idx="0">
                  <c:v>Male</c:v>
                </c:pt>
              </c:strCache>
            </c:strRef>
          </c:tx>
          <c:spPr>
            <a:solidFill>
              <a:schemeClr val="accent2"/>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Sheet1!$Q$4:$Q$24</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8-192F-4E77-B6BC-414B84ECB5FE}"/>
            </c:ext>
          </c:extLst>
        </c:ser>
        <c:ser>
          <c:idx val="2"/>
          <c:order val="2"/>
          <c:tx>
            <c:strRef>
              <c:f>Sheet1!$R$2:$R$3</c:f>
              <c:strCache>
                <c:ptCount val="1"/>
                <c:pt idx="0">
                  <c:v>Other</c:v>
                </c:pt>
              </c:strCache>
            </c:strRef>
          </c:tx>
          <c:spPr>
            <a:solidFill>
              <a:schemeClr val="accent3"/>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Sheet1!$R$4:$R$24</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9-192F-4E77-B6BC-414B84ECB5FE}"/>
            </c:ext>
          </c:extLst>
        </c:ser>
        <c:ser>
          <c:idx val="3"/>
          <c:order val="3"/>
          <c:tx>
            <c:strRef>
              <c:f>Sheet1!$S$2:$S$3</c:f>
              <c:strCache>
                <c:ptCount val="1"/>
                <c:pt idx="0">
                  <c:v>Unknown</c:v>
                </c:pt>
              </c:strCache>
            </c:strRef>
          </c:tx>
          <c:spPr>
            <a:solidFill>
              <a:schemeClr val="accent4"/>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Sheet1!$S$4:$S$24</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A-192F-4E77-B6BC-414B84ECB5FE}"/>
            </c:ext>
          </c:extLst>
        </c:ser>
        <c:dLbls>
          <c:showLegendKey val="0"/>
          <c:showVal val="0"/>
          <c:showCatName val="0"/>
          <c:showSerName val="0"/>
          <c:showPercent val="0"/>
          <c:showBubbleSize val="0"/>
        </c:dLbls>
        <c:gapWidth val="150"/>
        <c:overlap val="100"/>
        <c:axId val="135314991"/>
        <c:axId val="135325071"/>
      </c:barChart>
      <c:catAx>
        <c:axId val="13531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5071"/>
        <c:crosses val="autoZero"/>
        <c:auto val="1"/>
        <c:lblAlgn val="ctr"/>
        <c:lblOffset val="100"/>
        <c:noMultiLvlLbl val="0"/>
      </c:catAx>
      <c:valAx>
        <c:axId val="135325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1-F55C-4B9A-AF01-645ECD355143}"/>
            </c:ext>
          </c:extLst>
        </c:ser>
        <c:dLbls>
          <c:showLegendKey val="0"/>
          <c:showVal val="0"/>
          <c:showCatName val="0"/>
          <c:showSerName val="0"/>
          <c:showPercent val="0"/>
          <c:showBubbleSize val="0"/>
        </c:dLbls>
        <c:gapWidth val="219"/>
        <c:overlap val="-27"/>
        <c:axId val="135602287"/>
        <c:axId val="135600367"/>
      </c:barChart>
      <c:catAx>
        <c:axId val="1356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0367"/>
        <c:crosses val="autoZero"/>
        <c:auto val="1"/>
        <c:lblAlgn val="ctr"/>
        <c:lblOffset val="100"/>
        <c:noMultiLvlLbl val="0"/>
      </c:catAx>
      <c:valAx>
        <c:axId val="13560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22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[ecommerce-blank.xlsx]gender!PivotTable3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9444444444444448E-2"/>
              <c:y val="0.1990740740740739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7222222222222224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9444444444444448E-2"/>
              <c:y val="-0.1157407407407407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EF7-4596-909A-95D45E2EA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F7-4596-909A-95D45E2EA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F7-4596-909A-95D45E2EA7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6EF7-4596-909A-95D45E2EA78A}"/>
              </c:ext>
            </c:extLst>
          </c:dPt>
          <c:dLbls>
            <c:dLbl>
              <c:idx val="0"/>
              <c:layout>
                <c:manualLayout>
                  <c:x val="6.9444444444444448E-2"/>
                  <c:y val="0.199074074074073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EF7-4596-909A-95D45E2EA78A}"/>
                </c:ext>
              </c:extLst>
            </c:dLbl>
            <c:dLbl>
              <c:idx val="1"/>
              <c:layout>
                <c:manualLayout>
                  <c:x val="-9.7222222222222224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F7-4596-909A-95D45E2EA78A}"/>
                </c:ext>
              </c:extLst>
            </c:dLbl>
            <c:dLbl>
              <c:idx val="2"/>
              <c:layout>
                <c:manualLayout>
                  <c:x val="-6.9444444444444448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F7-4596-909A-95D45E2EA78A}"/>
                </c:ext>
              </c:extLst>
            </c:dLbl>
            <c:dLbl>
              <c:idx val="3"/>
              <c:layout>
                <c:manualLayout>
                  <c:x val="2.7777777777777267E-3"/>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EF7-4596-909A-95D45E2EA78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gender!$A$4:$A$8</c:f>
              <c:strCache>
                <c:ptCount val="4"/>
                <c:pt idx="0">
                  <c:v>Female</c:v>
                </c:pt>
                <c:pt idx="1">
                  <c:v>Male</c:v>
                </c:pt>
                <c:pt idx="2">
                  <c:v>Other</c:v>
                </c:pt>
                <c:pt idx="3">
                  <c:v>Unknown</c:v>
                </c:pt>
              </c:strCache>
            </c:strRef>
          </c:cat>
          <c:val>
            <c:numRef>
              <c:f>gender!$B$4:$B$8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6EF7-4596-909A-95D45E2EA7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[ecommerce-blank.xlsx]gender!PivotTable1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gender!$B$17</c:f>
              <c:strCache>
                <c:ptCount val="1"/>
                <c:pt idx="0">
                  <c:v>Total</c:v>
                </c:pt>
              </c:strCache>
            </c:strRef>
          </c:tx>
          <c:spPr>
            <a:solidFill>
              <a:schemeClr val="accent1"/>
            </a:solidFill>
            <a:ln>
              <a:noFill/>
            </a:ln>
            <a:effectLst/>
          </c:spPr>
          <c:invertIfNegative val="0"/>
          <c:cat>
            <c:strRef>
              <c:f>gender!$A$18:$A$23</c:f>
              <c:strCache>
                <c:ptCount val="5"/>
                <c:pt idx="0">
                  <c:v>1</c:v>
                </c:pt>
                <c:pt idx="1">
                  <c:v>2</c:v>
                </c:pt>
                <c:pt idx="2">
                  <c:v>3</c:v>
                </c:pt>
                <c:pt idx="3">
                  <c:v>4</c:v>
                </c:pt>
                <c:pt idx="4">
                  <c:v>5</c:v>
                </c:pt>
              </c:strCache>
            </c:strRef>
          </c:cat>
          <c:val>
            <c:numRef>
              <c:f>gender!$B$18:$B$23</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2DE6-490A-B8D7-9448570AA164}"/>
            </c:ext>
          </c:extLst>
        </c:ser>
        <c:dLbls>
          <c:showLegendKey val="0"/>
          <c:showVal val="0"/>
          <c:showCatName val="0"/>
          <c:showSerName val="0"/>
          <c:showPercent val="0"/>
          <c:showBubbleSize val="0"/>
        </c:dLbls>
        <c:gapWidth val="182"/>
        <c:axId val="1909052479"/>
        <c:axId val="1909053919"/>
      </c:barChart>
      <c:catAx>
        <c:axId val="190905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53919"/>
        <c:crosses val="autoZero"/>
        <c:auto val="1"/>
        <c:lblAlgn val="ctr"/>
        <c:lblOffset val="100"/>
        <c:noMultiLvlLbl val="0"/>
      </c:catAx>
      <c:valAx>
        <c:axId val="190905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[ecommerce-blank.xlsx]KPIs!PivotTable2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weeks trend - Qty &amp;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KPIs!$C$12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KPIs!$B$13:$B$26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KPIs!$C$13:$C$26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FE5-4DDE-AC7A-A29CA053FECE}"/>
            </c:ext>
          </c:extLst>
        </c:ser>
        <c:dLbls>
          <c:showLegendKey val="0"/>
          <c:showVal val="0"/>
          <c:showCatName val="0"/>
          <c:showSerName val="0"/>
          <c:showPercent val="0"/>
          <c:showBubbleSize val="0"/>
        </c:dLbls>
        <c:marker val="1"/>
        <c:smooth val="0"/>
        <c:axId val="263978064"/>
        <c:axId val="263964144"/>
      </c:lineChart>
      <c:lineChart>
        <c:grouping val="standard"/>
        <c:varyColors val="0"/>
        <c:ser>
          <c:idx val="1"/>
          <c:order val="1"/>
          <c:tx>
            <c:strRef>
              <c:f>KPIs!$D$12</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KPIs!$B$13:$B$26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KPIs!$D$13:$D$26</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FE5-4DDE-AC7A-A29CA053FECE}"/>
            </c:ext>
          </c:extLst>
        </c:ser>
        <c:dLbls>
          <c:showLegendKey val="0"/>
          <c:showVal val="0"/>
          <c:showCatName val="0"/>
          <c:showSerName val="0"/>
          <c:showPercent val="0"/>
          <c:showBubbleSize val="0"/>
        </c:dLbls>
        <c:marker val="1"/>
        <c:smooth val="0"/>
        <c:axId val="266121696"/>
        <c:axId val="266127936"/>
      </c:lineChart>
      <c:catAx>
        <c:axId val="2639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64144"/>
        <c:crosses val="autoZero"/>
        <c:auto val="1"/>
        <c:lblAlgn val="ctr"/>
        <c:lblOffset val="100"/>
        <c:noMultiLvlLbl val="0"/>
      </c:catAx>
      <c:valAx>
        <c:axId val="26396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78064"/>
        <c:crosses val="autoZero"/>
        <c:crossBetween val="between"/>
      </c:valAx>
      <c:valAx>
        <c:axId val="266127936"/>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21696"/>
        <c:crosses val="max"/>
        <c:crossBetween val="between"/>
      </c:valAx>
      <c:catAx>
        <c:axId val="266121696"/>
        <c:scaling>
          <c:orientation val="minMax"/>
        </c:scaling>
        <c:delete val="1"/>
        <c:axPos val="b"/>
        <c:numFmt formatCode="General" sourceLinked="1"/>
        <c:majorTickMark val="out"/>
        <c:minorTickMark val="none"/>
        <c:tickLblPos val="nextTo"/>
        <c:crossAx val="2661279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021-42ED-A952-3966B3976550}"/>
            </c:ext>
          </c:extLst>
        </c:ser>
        <c:dLbls>
          <c:showLegendKey val="0"/>
          <c:showVal val="0"/>
          <c:showCatName val="0"/>
          <c:showSerName val="0"/>
          <c:showPercent val="0"/>
          <c:showBubbleSize val="0"/>
        </c:dLbls>
        <c:gapWidth val="51"/>
        <c:overlap val="-27"/>
        <c:axId val="135602287"/>
        <c:axId val="135600367"/>
      </c:barChart>
      <c:catAx>
        <c:axId val="1356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0367"/>
        <c:crosses val="autoZero"/>
        <c:auto val="1"/>
        <c:lblAlgn val="ctr"/>
        <c:lblOffset val="100"/>
        <c:noMultiLvlLbl val="0"/>
      </c:catAx>
      <c:valAx>
        <c:axId val="13560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2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a:t>which</a:t>
            </a:r>
            <a:r>
              <a:rPr lang="en-IN" baseline="0"/>
              <a:t> products are polular ? breakdown by gender</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Sheet1!$P$2:$P$3</c:f>
              <c:strCache>
                <c:ptCount val="1"/>
                <c:pt idx="0">
                  <c:v>Female</c:v>
                </c:pt>
              </c:strCache>
            </c:strRef>
          </c:tx>
          <c:spPr>
            <a:solidFill>
              <a:schemeClr val="accent1"/>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Sheet1!$P$4:$P$24</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65A6-403F-8217-D6EE942048A0}"/>
            </c:ext>
          </c:extLst>
        </c:ser>
        <c:ser>
          <c:idx val="1"/>
          <c:order val="1"/>
          <c:tx>
            <c:strRef>
              <c:f>Sheet1!$Q$2:$Q$3</c:f>
              <c:strCache>
                <c:ptCount val="1"/>
                <c:pt idx="0">
                  <c:v>Male</c:v>
                </c:pt>
              </c:strCache>
            </c:strRef>
          </c:tx>
          <c:spPr>
            <a:solidFill>
              <a:schemeClr val="accent2"/>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Sheet1!$Q$4:$Q$24</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9-C4E6-4279-9A8D-3F2A3550B28C}"/>
            </c:ext>
          </c:extLst>
        </c:ser>
        <c:ser>
          <c:idx val="2"/>
          <c:order val="2"/>
          <c:tx>
            <c:strRef>
              <c:f>Sheet1!$R$2:$R$3</c:f>
              <c:strCache>
                <c:ptCount val="1"/>
                <c:pt idx="0">
                  <c:v>Other</c:v>
                </c:pt>
              </c:strCache>
            </c:strRef>
          </c:tx>
          <c:spPr>
            <a:solidFill>
              <a:schemeClr val="accent3"/>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Sheet1!$R$4:$R$24</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A-C4E6-4279-9A8D-3F2A3550B28C}"/>
            </c:ext>
          </c:extLst>
        </c:ser>
        <c:ser>
          <c:idx val="3"/>
          <c:order val="3"/>
          <c:tx>
            <c:strRef>
              <c:f>Sheet1!$S$2:$S$3</c:f>
              <c:strCache>
                <c:ptCount val="1"/>
                <c:pt idx="0">
                  <c:v>Unknown</c:v>
                </c:pt>
              </c:strCache>
            </c:strRef>
          </c:tx>
          <c:spPr>
            <a:solidFill>
              <a:schemeClr val="accent4"/>
            </a:solidFill>
            <a:ln>
              <a:noFill/>
            </a:ln>
            <a:effectLst/>
          </c:spPr>
          <c:invertIfNegative val="0"/>
          <c:cat>
            <c:strRef>
              <c:f>Sheet1!$O$4:$O$24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Sheet1!$S$4:$S$24</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B-C4E6-4279-9A8D-3F2A3550B28C}"/>
            </c:ext>
          </c:extLst>
        </c:ser>
        <c:dLbls>
          <c:showLegendKey val="0"/>
          <c:showVal val="0"/>
          <c:showCatName val="0"/>
          <c:showSerName val="0"/>
          <c:showPercent val="0"/>
          <c:showBubbleSize val="0"/>
        </c:dLbls>
        <c:gapWidth val="150"/>
        <c:overlap val="100"/>
        <c:axId val="135314991"/>
        <c:axId val="135325071"/>
      </c:barChart>
      <c:catAx>
        <c:axId val="13531499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5071"/>
        <c:crosses val="autoZero"/>
        <c:auto val="1"/>
        <c:lblAlgn val="ctr"/>
        <c:lblOffset val="100"/>
        <c:noMultiLvlLbl val="0"/>
      </c:catAx>
      <c:valAx>
        <c:axId val="13532507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[ecommerce-blank.xlsx]gender!PivotTable3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9444444444444448E-2"/>
              <c:y val="0.1990740740740739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7222222222222224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6.9444444444444448E-2"/>
              <c:y val="-0.1157407407407407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9444444444444448E-2"/>
              <c:y val="0.1990740740740739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7222222222222224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9444444444444448E-2"/>
              <c:y val="-0.1157407407407407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7777777777777267E-3"/>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9444444444444448E-2"/>
              <c:y val="0.1990740740740739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7222222222222224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6.9444444444444448E-2"/>
              <c:y val="-0.1157407407407407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8680228979008645"/>
              <c:y val="-0.1493453433273527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56617461735108332"/>
                  <c:h val="0.1480723474393183"/>
                </c:manualLayout>
              </c15:layout>
            </c:ext>
          </c:extLst>
        </c:dLbl>
      </c:pivotFmt>
    </c:pivotFmts>
    <c:plotArea>
      <c:layout>
        <c:manualLayout>
          <c:layoutTarget val="inner"/>
          <c:xMode val="edge"/>
          <c:yMode val="edge"/>
          <c:x val="9.3183321082596318E-2"/>
          <c:y val="0.13894683386924839"/>
          <c:w val="0.76344485455872313"/>
          <c:h val="0.86105316613075156"/>
        </c:manualLayout>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50-434A-AD97-C8B5D0DFD2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50-434A-AD97-C8B5D0DFD2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50-434A-AD97-C8B5D0DFD2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50-434A-AD97-C8B5D0DFD254}"/>
              </c:ext>
            </c:extLst>
          </c:dPt>
          <c:dLbls>
            <c:dLbl>
              <c:idx val="0"/>
              <c:layout>
                <c:manualLayout>
                  <c:x val="6.9444444444444448E-2"/>
                  <c:y val="0.199074074074073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50-434A-AD97-C8B5D0DFD254}"/>
                </c:ext>
              </c:extLst>
            </c:dLbl>
            <c:dLbl>
              <c:idx val="1"/>
              <c:layout>
                <c:manualLayout>
                  <c:x val="-9.7222222222222224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50-434A-AD97-C8B5D0DFD254}"/>
                </c:ext>
              </c:extLst>
            </c:dLbl>
            <c:dLbl>
              <c:idx val="2"/>
              <c:layout>
                <c:manualLayout>
                  <c:x val="-6.9444444444444448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50-434A-AD97-C8B5D0DFD254}"/>
                </c:ext>
              </c:extLst>
            </c:dLbl>
            <c:dLbl>
              <c:idx val="3"/>
              <c:layout>
                <c:manualLayout>
                  <c:x val="0.18680228979008645"/>
                  <c:y val="-0.14934534332735278"/>
                </c:manualLayout>
              </c:layout>
              <c:showLegendKey val="0"/>
              <c:showVal val="0"/>
              <c:showCatName val="1"/>
              <c:showSerName val="0"/>
              <c:showPercent val="1"/>
              <c:showBubbleSize val="0"/>
              <c:extLst>
                <c:ext xmlns:c15="http://schemas.microsoft.com/office/drawing/2012/chart" uri="{CE6537A1-D6FC-4f65-9D91-7224C49458BB}">
                  <c15:layout>
                    <c:manualLayout>
                      <c:w val="0.56617461735108332"/>
                      <c:h val="0.1480723474393183"/>
                    </c:manualLayout>
                  </c15:layout>
                </c:ext>
                <c:ext xmlns:c16="http://schemas.microsoft.com/office/drawing/2014/chart" uri="{C3380CC4-5D6E-409C-BE32-E72D297353CC}">
                  <c16:uniqueId val="{00000007-FF50-434A-AD97-C8B5D0DFD25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gender!$A$4:$A$8</c:f>
              <c:strCache>
                <c:ptCount val="4"/>
                <c:pt idx="0">
                  <c:v>Female</c:v>
                </c:pt>
                <c:pt idx="1">
                  <c:v>Male</c:v>
                </c:pt>
                <c:pt idx="2">
                  <c:v>Other</c:v>
                </c:pt>
                <c:pt idx="3">
                  <c:v>Unknown</c:v>
                </c:pt>
              </c:strCache>
            </c:strRef>
          </c:cat>
          <c:val>
            <c:numRef>
              <c:f>gender!$B$4:$B$8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F50-434A-AD97-C8B5D0DFD25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547-4FF7-9009-3F7E8D8E9221}"/>
            </c:ext>
          </c:extLst>
        </c:ser>
        <c:dLbls>
          <c:showLegendKey val="0"/>
          <c:showVal val="0"/>
          <c:showCatName val="0"/>
          <c:showSerName val="0"/>
          <c:showPercent val="0"/>
          <c:showBubbleSize val="0"/>
        </c:dLbls>
        <c:gapWidth val="35"/>
        <c:overlap val="13"/>
        <c:axId val="135602287"/>
        <c:axId val="135600367"/>
      </c:barChart>
      <c:catAx>
        <c:axId val="1356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0367"/>
        <c:crosses val="autoZero"/>
        <c:auto val="1"/>
        <c:lblAlgn val="ctr"/>
        <c:lblOffset val="100"/>
        <c:noMultiLvlLbl val="0"/>
      </c:catAx>
      <c:valAx>
        <c:axId val="13560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22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[ecommerce-blank.xlsx]gender!PivotTable1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gender!$B$17</c:f>
              <c:strCache>
                <c:ptCount val="1"/>
                <c:pt idx="0">
                  <c:v>Total</c:v>
                </c:pt>
              </c:strCache>
            </c:strRef>
          </c:tx>
          <c:spPr>
            <a:solidFill>
              <a:schemeClr val="accent1"/>
            </a:solidFill>
            <a:ln>
              <a:noFill/>
            </a:ln>
            <a:effectLst/>
          </c:spPr>
          <c:invertIfNegative val="0"/>
          <c:cat>
            <c:strRef>
              <c:f>gender!$A$18:$A$23</c:f>
              <c:strCache>
                <c:ptCount val="5"/>
                <c:pt idx="0">
                  <c:v>1</c:v>
                </c:pt>
                <c:pt idx="1">
                  <c:v>2</c:v>
                </c:pt>
                <c:pt idx="2">
                  <c:v>3</c:v>
                </c:pt>
                <c:pt idx="3">
                  <c:v>4</c:v>
                </c:pt>
                <c:pt idx="4">
                  <c:v>5</c:v>
                </c:pt>
              </c:strCache>
            </c:strRef>
          </c:cat>
          <c:val>
            <c:numRef>
              <c:f>gender!$B$18:$B$23</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22F6-447B-9F32-A41B8F0E73F1}"/>
            </c:ext>
          </c:extLst>
        </c:ser>
        <c:dLbls>
          <c:showLegendKey val="0"/>
          <c:showVal val="0"/>
          <c:showCatName val="0"/>
          <c:showSerName val="0"/>
          <c:showPercent val="0"/>
          <c:showBubbleSize val="0"/>
        </c:dLbls>
        <c:gapWidth val="182"/>
        <c:axId val="1909052479"/>
        <c:axId val="1909053919"/>
      </c:barChart>
      <c:catAx>
        <c:axId val="190905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53919"/>
        <c:crosses val="autoZero"/>
        <c:auto val="1"/>
        <c:lblAlgn val="ctr"/>
        <c:lblOffset val="100"/>
        <c:noMultiLvlLbl val="0"/>
      </c:catAx>
      <c:valAx>
        <c:axId val="190905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67A15A05-8791-488C-85CE-2A5D206323B1}">
          <cx:tx>
            <cx:txData>
              <cx:f>_xlchart.v5.6</cx:f>
              <cx:v>Sum of Quantity</cx:v>
            </cx:txData>
          </cx:tx>
          <cx:dataId val="0"/>
          <cx:layoutPr>
            <cx:geography cultureLanguage="en-US" cultureRegion="IN" attribution="Powered by Bing">
              <cx:geoCache provider="{E9337A44-BEBE-4D9F-B70C-5C5E7DAFC167}">
                <cx:binary>5H1Zc9u4tu5fSeX50o2JBHHq9K7aICV5HmOn0y8sxVY4jwDHX3+XbCfHouRs+lbr4egqSaVsaoGL
/IA1Y+G/H7v/ekxWy+pTlyaZ+q/H7s/PgdbFf/3xh3oMVulSHaXhY5Wr/Ic+eszTP/IfP8LH1R9P
1bINM/8PgjD74zFYVnrVff7Xf8No/io/zx+XOsyzm3pV9bcrVSda/ebazkuflk9pmLmh0lX4qPGf
n51lEv7Iqyxcft68Rv78/O9kma6elp+cvM50//nTKtOh7r/0xerPzxvjkM+f/hjfbou1Twlwr+sn
IKb8yEbMJrZFxfOHf/6U5Jn/etnAhBwRThi3YOSXu14CKx/i6Jmf5dNTtVIKnuz5/+0BNh4D3sa/
//NbeFy/jTUAPmDx5+f7LNSrp093eqlX6vOnUOXPr6vqnXz9qPd3z+/mj00I//Xfo1/A2xr95g3K
41f7ny5tAvkfQHZyeJo1xkrvA2n7CGFbCEr5C9L2NtKYMtvkGK68hfqjfO3Ge+coE0DfSXdgyP87
KcJstYfVbR9ZgpoWNtluzLE44vAxTc42MZ/O0W60R/QTcB5RHBrC6fIpr/aCMAXhjIgNAG4KbgTQ
EiIoEmj9wSOAJzP0DsCb9FMA3qQ4MIBlrfU+VrA4MjGhDL23ggk+Mk1mYUxGAE9maDe+m+QT4N0k
ODB0v9Xf96GSxRFm2DSx4M9LFIGNtbmGAVybWzaz6ObqncrPbmw3qCdAu/H9A0PWyZNa7QdbggSh
oHvfwZYcIWRTSzBzE9vpHO1Gd0Q/Ad8RxaEhvEyWzapaqr1oXywsggl/bwGjI8teTwNmjUD+CFPv
4Lw1xBSot4gODO3rZPm42o+hZQsuMLNfzCkEEnksqxFnFCPyYmqLTcCn87Ub7RH9BKhHFAeGs7tK
Pl3mEJX551c1w0fcZGA8r93l9WcrJsKOCGIUYiKjoMiHmNqN8/YQE6DeJjowtGfJJzevwIX659Gm
9hEnwjLJawBMwMLdXNjgSIn1wjetZ00+srM/xNpuzLeHmID5NtGBYX4XrqrncBgE+f7RkCe4VBai
EPNkL5bZliRHR3AR2Zb9YrqNAJ/O1260R/QToB5RHBrOy+zTvFpmj6F6zH8qzX8mtM1thLhtv4rx
rYVNjhiE902bjnT13VuOpkicd4DeOcwUvHcSHhjsc0gHZPuQ59YRp9gCrxq/aO8x7OuYp23CHzxy
vKZztBvvEf0EoEcUB4bwIlll2ZTl88GUFchvgiBoQsCn2tTU5AgLG3NqjuyyyZzsBnaTfAKumwQH
BuuXVbBM9xAxYegIc8tCJnln4a5TkZRhCHaSXYbYdL52ozyinwDziOLAcD6u0+958qT/+RUMSHPb
woxtr2B2hC1MEdhfL8L7pz3wknT+CEu7Qd4aYQLMWzQHBvRJWqyqcJn880BTAq4Tsc11WOT5Mza1
sQm2uAm6GlJY68/I1P4IZ7vx3hphAt5bNIeGd9bvx+6yEQHNzF9zzVt2lw3aWVgW2OObq/pkIj/v
IPyWegq6b79/YMierap9GFzmEeXPKciXRbpepRt2F1jU69ISTAlEyt5WjkzlZzeyG9QTkN34/oEh
e7ks9mByQeyLCKjuguTxs/jdDmqDyWULyD7bI4t6Kj+7kd2gnoDsxvcPDNkzqDLcR2rKOoLlCNgy
81032IJrAP140U5laDe2m88zAdxNggND93wZ7yFDQUHggk3FEVT3PH+2CgfIkcAmtqB4YFMiT+Vn
N7Yb1BOg3fj+wSGr1GoP2hacI6gJgTTji5OLtmUy5JThMrOt0cI9X07l6D10N+gn4btBcWgI5+rT
vzN/laz2IZ/ZEUQ6CLV/yudxOS4G3cwoFPfBMl9/Rq7R+ceYewfxHYNMgX0H2YFhf7F8gpKRPXjE
1hEUjECAkr+WBY1taYKOkAVl2AyPkhLTOdqN9Yh+AswjioNDuAr3IL5hQ4XgzAR4X/PJ43UNUUyT
YhDeYuQGXywnMvQevm/JJ8H7luDA0IUU3noTRVUP+1nDHOLQCFsvpvUOiKEgG3KPYmR9fYyr3Tjv
GGMC2DuoDgzx9fIp8r2UcvIjkMcgse1Xk2wssyH+ISzGbQIG+fNn0+b+CGe7Md8aYQLiWzQHhvcX
kF6wB+6fX97r7AS4ziDCX5f3VvkXOFcQEsFQ27sJ9AdY2o3zeIAJMI9JDgxl2MyXhSpZ1vswwTk4
UgiyxdZ7XjSGEu21Ec5HqvpjXO3GescYE+DeQXVgiF+ssqf8MdxLach6vwUIaM5fw51jQU4oFHZy
i9J1yefbQPaHmNqN9/YQE+DeJjo4tKtH2LPr7GFfM0WWsKCI7x0bDcIsNmy8wfylCnAkyi9WU/l6
D+0N+klQb1AcGM5gf346zZdlvS+fC9Q1I1DO9/wZp5lhkxwREAoXYndF58eY2434riecAPsusgPD
/jqpoc3CHtY4mN3U4lC5/VowtGWoITDUbGHCFuhNcT6do91Yj+gnwDyiODCEL3JQ2f88wLARgwkE
+P10tLcK/tARrHrYGothxW/o66kM7cZ383kmwLtJcGDo3gVLtY+OFOBoQd8Bi9r0vd1z5IjaGNn2
uk7sLbzTOdqN74h+AsAjigND+CLfi7kNGQzoLPHLBNvaRwVxEwJxMtj9PI51T+RnN7obTzMB243v
Hx6yelWt9hAmodaRxS3OKXpdvTuMLsu0YH2PWwfB+57M07sIb44wDeVNmgND+jXCmyz3krbiR+tU
JJQbvOdO4SOo68PMHO9m/yBbu/HeNcgEyHeRHRjql6tmuZe+YCCaLcJtil7zlDtWN8LQu4CNcxzT
OdqN9Yh+AswjigNDGCbxp/M6VJ+uvoeq2Efhrgk1fsQCMCFjtf5sRcWg4AQqP6HFzEhN/z+wthvz
9waaAP57pAc2C65gg6S/j0oyChX6sLfZtt7rEAYNAk3oIWWNC1Cmc7Qb8xH9BKhHFAeG8G0ITUpU
+LQfkIWNTEpf67e3VjgG9Q4tTKAUdLTCP8TUbpy3h5gA9TbRgaG9FlsSqvWX1dN+Uh2wkQq6C2Gb
vua2xvobICeQxYSWJiPX+sOM7Yb9nQecgP07lAc3AR4raKSa6X1odBsCK9D4ERT6S/JjKzC6Dqyt
/8CujleNvxFeWX6Et/fw3xpjEvZbVAeHe/bpAhrU7gP25zoVDl7aa8n/Fuywm4OAkybYKNu1XnKT
mXoP7/EQk+AeEx0g2nIFdSr7gNsCy4ysu0O+s8MDsl4MEQQbbcfh02cZP5Wr9/EePdlEwEdUB4i4
G678fQAOu2kx5DlhR+14Ax6HbdMQKrd/ToVtnT6Zp/fh3hxiItqbRIcHNiRG5LL6vp+oG1s3qFmX
Cr/TEQEC6JawoScCtJF8/mzh/jH23sV+xzDT8N9BeGhzIFRx2Of1XtKf0MkGqk5/9uYHU31j3y2U
kltQvWbChoER8B/g6R3MxyNMgXtMc2hI58lyb3kyiMGscyk/zfExzogJ6Ea2pcgnc/QOypv0UzDe
pDg4hLN8H61tYJ81o8KCrdbv5cqeVbvFoM58tJIhEzqNo/cQ3qCfhPAGxYEh/KWGBNk+Qmyw3Zqi
dWOi1/aw4yD6Otct1ikycySrp3O0G+ER/QSERxQHhvDduhH/PhoAQ/EwJQSaPb8aY2MjHNwtC9wx
qDIcu1uTOdqN8OiJJiA8ojgwhL/U0LM93ct5KbB5z4awKGD4jiZGUJFEMLbJ1iqeztNulLeeagLO
WzQHhvQDRCXrvdQzQAdn6PBK0XuHIT2La+haZaHR1o8PsLQb5/EAE2AekxwYyt/yZB/REjj7iEMv
KtipNXaboL83h3310Glu09iayshuYDeoJ6C68f3/BZD+nsWNB14fdPbvn+92Ryvfjx9SB0W+lgVh
kN1ieR0HwWBcw2kqu+Igb0/We8lz7OJpN6pvaTee8eURf/9S9nME3fvH0/066c9d6uXs+YzANyfU
/f7q8+PD2YYj0te62x0v7FdHqJOnPz/Dhiq63vL+Btn1QJtVuz+zDD9nxibhCqqM//z8fOIggiSF
ZVkcEljMgjHb1a9L0B0UExNyHLDHft0aJYMzAILncww5dI2EYtN1l3bo7gtUKq9fL2HEwTSHHZtQ
SQ67tn+d43idJ72fZ79ezOvPn7I6vc7DTKs/P4M/Vrx8a82tiaCeFeKvNjS6g3w5h/bRcP1xebvu
mQRv4f+ouq3L1OrbK5RfVz6b9RF337yUHXcATt/cYd1zHDY1QFAHSumgMT10gtm8g9XymNa8rq8U
i05D/mCgK2HeKHaMveu2uVR49vv7QQ/V/3DHNUdvnol0dhUOOKmvoqI2pN37Wshe5SSVuZ+rm7bK
7dNGm8WlFZueVNbcivpyVnqdZ850qvks8jPr7w624JxYNGhkXxbMxSqnktrBuZknD5lNYqeo0FNj
xD9EZ/yVDYAAJkzynEUy8uEQx6xPTElJYM+qxEhl6of+MYutheqTcA51xnTuF2G+8Pouc8IujCSv
aiqzAVXSI+Gd0dpOUYe3dtOcCZPmkofNuVF6gFIUytSzC1m22mU9lb3V3nhe0krPoMd5jq+bgEo4
IvMkQ3Uo48g/ywWWNTXuKwP7ssn+bgZ63fHguOGDmmGtFqFmC1bYp0FodjKw8nZuFJVaeEF/kdd8
uOMaiUpWZq+yu7wMrGOrLJwIZ+VxaQWGvhkKBr+o06rLrxKfnWuE+WWWDuYxU3pw05qW32Nkn1tW
e2Gw9Lzg4UkXtxeV8C4NFF/2g/UVJ8KSpWEICYc+zisSPjITPSVGbs5ak110BTv1CHWbuDjXXjur
6/6kp+E1Gkon80o37Prztu/Oa7vKXT2kyPHN9kw16GtZkxljuS/TbLg3k86XXtrHl2GdXWexXtR2
exkP8SnKYy67wkIy1lUry87OpGpiJFmfzFTE70vdVzIykD8naVGf1HWrF4lH1I0dlv150ufmXNnk
LEmfhNFescC+VXWFJQ4SLYOgmuMiPfWS8LrOjLu2yeaBAbDkXTKzQyF5qp94UA8SW9EN8duZqNNa
Bh12oXG0y6L+Rtd5IFXROFbLFm3VzBHzXG3ZMsXIzfP8bsjYdeqVpdN2qpE6iZvbrg9uLQ+fVG3t
2oX9F4szp+Nm9aVABnWisPqR0QZmk1jQNpPD4CWSIebguFmh1j/LasstGY4ckGAnJI0sh9JwZhmt
xJ5/HYTNBTOj49JMFx0yZwnPnLrzzpTKjyuzkWrQrqmMS9BxLmmNExAUN73ta+mFSEnKvHkp6AOr
lENghThlnLUyM5P+OG7N5KRKsnkR+rWkvXEaq+GLKtpA9om+DKv8LmqQG0UNTGsvEk5tk6Woo2XE
7Yu8TCLZRW3stKrqpafa1DG9xj5+FjOvyuhVrr1I0se86KvQD14Pxf3147++5Cn8fT5f9X9+uT5T
939+Wqzyda9fNf7S+j6/vgW3eb3vWsls/LCl9d7Ray+n9r5z8UNKb10V+evM3S2l93IKz7bGe66l
/KnxoOcP7DM3QeWtdSiC+MEvjQc5XBv8UWpBsz4TDjP4H40njqDNPQVPda0k8Fqt/dJ4cKQJhh5i
aB2ugOwRqNCfD7qBE2j7HfqIrhvTvNFIa53HoZs+aFdwjsEQoyOd1/RtwzTj7ZXumthhOv6aN/0t
z5tmlgj/KsVl9JiHTSbDnn6hmkZOQw3vzubtDyNAc2KZTA7UGKRvlzOUJbACuZ/Mwsr7XvkxdrqE
V7Kps1smEn+BRO4t2sa7sOFAZzco+PeahndWM3wNUm3B1Ne1JAVzujxIj2NenNJCgbrgQSSpyOZD
Qu7gXm6rcS1hGQcuqXssI7uOHG+wLnQs7qHFeCCz2H+KlH3BKu8Gse4q8NVxznEhm6a/IQFCc2bD
Wo9Yc90Rns9sSizJSdfKNIkdzyew/EuHlnV0ghgJZVvgYxx46VzoXM3iUNuzui/ojMbewoqTSuY0
Fcdewb5UQsumF25N6awuFJJlZYZOmPYnA46Yo7PAlj4aHkzxlOaeW5HuQqn0lDf6rxoNoVNEqpOM
ho2sexBAVlMH0uz6VYPykwbzOacGlwIFDz5OfSlsw0nspJSsSqUfDscR4VdtyC858x0/rx5yw/wO
yuGM5/HCiAfXotwpFT6pvfiG9DSTvmnd2vCGvJD70sireZsklxUTt1aIvsfdgGSHQDKbCA9S8PY+
JexbZItLUvDW0U3G5kWNlRQdP8OR/cVIaOZYA3oImyiRbRadDdS7L7rqEsyPM7+KhVRJsmJG8HfX
GF8KWp93QXerhTVHlvFXbUSPiYhMaZp941SFz+WQ5PaMqPIH7/s7VBuhLJm4AJjOWzDPyipyPfYD
F+YM9GEm23qYFzxXLmHhXR5Ex1Zk5xL5fDFE3JRVlv9NM+sbTdXaKOmWrG5hfuGyBJski2Wj83Pc
JE8ezEhR0dRlJF/gxDqtrf44tzTYOGDSkIB+MZW/8MPQkINXXmPUagl6onPhtKFAVkYfuUZQ27Kn
YJogET9EGl7SkBmRNANlSpaSW20VM1Gkxz1KKzFTOitOPb/1L0mdP3TqW1KeUFhz31Idyrwv0XHg
x6EcNLvPyz646dtKnHhxAnYcV92CNV4oUd0ypy5xNOvrwJShUfwwo1aL8xaXOrvxAi/qwaiLy+G+
MfMwlmbT2UpI34vZXebRInYMnz6ELMpnDNd3sH1zkF7PZJcx0xVt4yZ2FLk8E4u+aJVrYNt2dVsl
p2HB+CxtPDwrWvotb8xoNgyw3JIApnTWaguUd+WEpkkdI0xd3xbdnV10lsyD4KoLhieiOxmWvu2G
YTlHoKDrOMWzocPeLLPswI1tf55wftkxJnUROgOyv4YmmA02WK3aDuaW1iehTWWFejfp8uskrOdF
Y2hnMNRZXqhCGo0+ZUHmXyZxdx8z6w7eLl6Ugl2qqLruyvpexOK4oixzfK/9riz2kOf0rxTxRBKv
dKKEprIsh2FuteGDGXRM5kMaOFCpedl6jZBZS1snDpJz1A4L+C1xwJIFy1Sb3wrDKiQpjVlF4x/9
UN4XEX8oyvAiqdj3Sg25g1J+ZWlxatU5GFklGK20bLHstW84yMPfURfd2iQ7B/BKKaKhlTrm92nT
tLBCqHbM1g5mpe271mAwF/bdDjKKSzfXsJh6WHp8gOcMyInym0aGgb6NapACBJ+CcXrm1fo8NpPK
4YJrmbRWIL0mFZKGaSJrbkcuS/Ew82K9MoJBz3NRRnNdi1AWBbrMPGHMmqTuj0mGTwffWxp9eh7E
w73RUyJx1z8aTRnd9UXXOVXbHheKZTLtRexyv3xscxRKo0KFk6fZfWhbZ0FRPIYD145PUPqly6pj
IyP3nNSp4xWARsK9eV/HyLU9G8RGe8LTwnM9qz4uItAOhX4UpGVSpQnMNZXWrSkT5BvVaYVw30iU
+NkMfFM1V55W4m+SKs0v/n+0iN6aNiZUov3OGHobTHkJxDw71c9UP91/DJXL666YCE7XM18c+V/G
ENTDrPcjQdceG4JB6yrGV/efwWGqeL3TFK0jQHBwH5gwP91/Av32YEA4C8qGncbQpvwjxhBe2zob
/r+A40egsa4FyXoKHScguPjWV9YDzYuyrrtLWMli1rReUIBij3jsxLxtbizD7E+jrsniGUKx/qZz
1oAgUV0plcjKr2/e3g7TbN2qecwN1HBDn2foYsLWm3g2uWFZX8QiqJtLUmb40o+HzIO1mFuB04Ga
ErJpWf2NNwVoxCq1demUURWDOzcozhzYmJs9Ca3RFYwR1C5JEnw/mIaNF71leivcG7ib/55jshlr
AFsSOqVBeAOCKAICONBRbcRxyAPAtteXtDN9kETdkNw3UPxA55qDQwh2UYcjN+SeLQdu9aHsY0QX
aVP12K2aXD8FnVLYAb1lukqHOfhtaYAaCAaYsT/z8yi4jmtxmioRKBey8eJBBeVZnLRmNwuVYV2E
VdCki98/1TYMcPIngqMu4EhIsMmfH/pNAIX3ht8aRaIuM+2Jh9y3MZEsJjA1iqzurtuuEneFh5O/
fn/b9Vx7OxeheQ3HNqdwviy4DYSu2XpzWxN1PiuUn11m9oAvcRzUl5kCFWp7wcPv7zT2ANZ3AkcD
znaAc1sEt0fzrMgYKKQqyC/tArFl2eZVsvC03RMZF8EMlXUyOBT1du5E1GzT/zRp1pNi80FhokDI
jcE5unA8zPj2UDgTBn6Whpe8jM1lGtXmMk7WPJhDqmZWleeyRwD9ok3KlsgyzvlKJ0KdtKJn551F
K+TQNspjJ+JZek+rAuIigd33q8JoChcZQ8odU+SsOjapNdTy929vfbDYmH++FhtQpkfgYFE2CrAh
qzYz0/SMC1x76TKstPIlNmKdMXDW+8w/bYMw/g4WT3HeDSUYKjnrQofghv/QfADN3wc+d1geNauw
ovypMYuAn/6eSWZugUwZhUm0LiWEGnEIqG1OJ6uyQ1QFml5EEJvyBJhtIhgWne6omOumrp2qK9FN
k/YmxFmCgDsVzhaKVMUiYQVx4qRMb4vETDvJk9b/2kZpftIrrWVhlsW9pWLb9crMc+o8gohcCH4i
ROAilV22haGuSmOgM9/HIpLG4GWpQxrw70xLJ7ck8q/9PqOdTGpeXmqv/KJJalDXagi8yLAnIBtY
PQwStXZ0ngSm/c1DNTsNLBufD37XCKdFAUvhIOw+PDHsqk9l29uDi1vTcIeoeyxUqe9qZPBAthDR
nHuqrE+YR8iXMsBtvPC4gcGyDmLvO2ySrsA8ykrj7zrlqVsUipzEeVac4FIkT2FTgB1X0DS+C4XX
cdmUzD+tvKp2engPC8yIuCrbtJuxtirnGHcY3GiTY99pWnCQnYYE3ixVtHLrQlwFnuEjF+NcH4Oq
Ia2TociStubJX12KgjNSieLOpNpc1CIyyFxZ6bC0rbyaKTAHh3mztoqNrkNLopL2h/KLwnQGolEt
M580/rzTUQ6Lo21nvd/U9rzKvcBNNE2PM/iqBHEO4UGrSRsuIxVFhsO9lkPY1uwGyXTiOVQbWbqo
rHjms7pHNy3FzA1VhRIZwUzSc6pboRYd5d25FQ9D4t3UbanTVPZh0mfVU+AFhAzfVGt0PA2kqECU
54+kTyNNK1nrugYDUsfglHSnIiyHRSNq7Z2kVRgWMiJJfoe4QU+intIaXBuReBCBRqIDuFJwPjLP
A30I0b22nFlx6yOnSjT2roISWTw/jnveBm7fJUKfW0pTmFGtl2PVOjXowrllBJF31cDSsXynhJAg
TDgaq3SeJWElZFKC8vJmXRNajuFBAgssaQ9lzMmVl6ZOIOrWA3eZJ+lMeWAVzM3MTwfHHkyQmBmJ
We2kQWUkslG9r65VaKTpLPdD+4dRNzxELsqJXoTMru1L0/B87zSjXHMzcrJOlUN/rKA4tApmhR/w
dOapZijnolJZOO8TK+2PEQQOCsckEEN3eGf2yaIKy9BwAFby1SjSAbuwbTBOXfiHjKskQoaCV55l
X6M0FekJhVhFMosDbd0OtYYwc2TkBJ8FbaB4JnlAAr3wqqbI7kAZ09PIH0g8ryEUns1ynfjDzMbd
IBw7AmfwIrV7mNoGLJXK9TCuTytqmonre9SvwWNsAM6QK7BPsiGiwyqJoabOtYGB1KV9GpQnGIXs
2A95DGGgOC6pG+ah5w4QqDCl0VaFuI68FiIoNCyjQaZFNBhnyEsYRJI93wR2BS9muA+G/CQIcevP
YsGCVq6/J7EIBYRjS5+WTteGEK3SXWj8XcFxQr0hQ1hH5BIPWTiE0m6YQb/0SUvqS6sQfe5motQX
Zp2BSvIVj4FApBTelhcGOPsGuZUsOC37NOnmqjWH8AxrX39hETGXZuelnrQxTN55nXWczpQ1hMB8
jaPUTWgZK8duvVmIw/Jb0rZgWUR+1Nwp02q/F1VAISfR+t7Mjk1EZGZ7MI6Z5FE3z6oGXw5dQdmN
0ib+grUB32gtQ9mOxj3vZg1EqMPjqiOkPcm4r8hVaHDxkKFyPTmjqFQLnqhAXXc907aDyhawCSBg
k7q5AqF7BhpMPFAbwexOQUpWLnTc6/ITcJg8ch1VdRzfEjsT7KRjUVtf6E6vjc+g767N2LC6Wd6m
cOs8H4ZGdiTVwwLFfP3wa9ZbkE/AV5HiS2Zm8BQ1xM09GcR5PDgibmDpFAnEO26yisOSr2qwCny4
BjKVQAjtqsSsrzJJiwDCYkFbdfVFagSFkiGqy27eQV8TOuubkqyFBiwmB54IBEgn8NpO1ln6ANEi
cWo3YWhLOzBjmBe9by3bjAIbXRX1t1R3SJ35YOZGED/I4ujOBm2xUBnCl6Xwy28QorVKGbAgJKe5
7Yv6zAtyv3H7ipfglPOeLgoCr9VBvOwf4yQ2r7taofy4RH0Tf22tFIKSqWekEBAQaxkSlgkENC3Y
CTILSR+oeWGl4quBIOyYtoVfSs5AzPVVG9yGuVZnIo0j0zVJRXwQe3DquWwCIh6qyGj8WUIyWCaD
4VFxwrIcl6sUBHJ/Ckdswtpo1xJ7FpkGvNGuGZoZKJm2PMNVTSzHE4luQNPSBoHpXUZ/V6IRX4we
zPTTQegKP2mV9QrCZpg3J2FLYKguxcHgsNa3/JMCYGkdI4aY3gBxZH3R9TyBJIUqpc3VMUu7xjwe
WgvAiRFWw6JI4jy/yKyOnRsasXwWlFnanPl9W0B4xVRp8AUsEfWERAZiBEQnZHTiQLUQdmwbuwQt
0Jd3iV/i8C+cD9Ru5AAWWH9faGoIGEx51SzgRuyfGl7Rfg98ZDROwpUVn4QC4ZtOGd6wqOpShbNw
qGGShkRHkBWMk8G8TK0iSWRZNMi6YDhgndODdaNmbVAAaq2dhb6sBp6C7FAqmeGOdpXbJMSuFoNd
wuyPWedzt/d6pCB+oazya2v2+EsUVDDXQNOJB5jrqbrORIZBwJJCRHM7DaxWdvU3YtetjWUcN/ze
JFnZuq3pa3bBvMRubktPiQqUO8zoWRFSQBMcB8j7hVTH+TmvioBekw4l1onX5RASCrvO8C/iyiha
N1UeyAywxmp9kSQe8F+J2J+rwI4Dt+0QOulLBuu+h2R+KJkX7ClGchE+VrnKf+hx2uht1uhf//ty
Swjc5/dzS2Cu1mr5NgDzUoaxpvoZToGqVA5dLzHEKsBNYhSM/l/hFCg6h3IDGxqbm1DxSKCg42c1
hYAzaCAEA+XKwoSuIOu0089win0EniakACBPBf4Mh2MqPpBbgoqJkWsEuSU4O45B5wFgAQ5lXl9/
48N2reeDKvDYVTwUHBIgVp7S75CP194ViBmaphcGmLXHtscTx6iDu575TMYWK9yM1AjSqhZkXpIy
ntVCM1eZKTpGbRy5dkcrp27yJe4H36nNcDmUqnNTCmGBSlmQdPZBynvRdVTC2vI9PStSxWRjw/q2
+wEdh8JSblxjD0zguJGtkTazoNKJG1j6rM4KITEPvzbYuglptrCStHLyzs2aYRGWupUNSiEvHuU3
g98+5FZ+ohjE9MMkB9NFG74jQOLIsBqWIqpuLAti93UK+SWRkGuCdHJRsyGfg1LPXOIlOdjT5Q/q
+cs6qrWTGnym+1XbEdMFn2LWGNR3kzS76Aj7WmR+IZXdFlBJAF5URdvCiQvId9HcgJiKLSoHN90Z
HcJoRqphVdvevM6bMyzaBeZgoBT5QlE1q8DsJxFuwHKGmP//Ze/MluTUtW79KucFOIFAEnB5aLLP
rNbV3RDlphBISHSie/p/pP2vvb28utjXZ985omxnZSZozjnGNybd6H8bIgx5Uw6Px4291T/pZd2t
DMOALfIuFtBix7p8DC1cO6WaXQ09ZjbVo4qcdIC1APzjKByb4BRBLWL13Yiv1NYU+sFcdno7wCrY
hLw5EFZ/1r1QCVSgkztGJ3SGOqEq1/wAE667I7Pb5G9Vpwov631T6DtnHZZmWxO9wDiT7suyVpGB
MSa/eMzfzAJ4QunZL1EvNmBuimQK8ePSTt9g1vcJ7LQorsd5NyziQnUeZs40L5t2EB+Tw4EwhMsr
d6PHYZ3vyEjeoB8Aflhf4V9FCWe9nwUF/Vp682Fyi+VNiVZivG0wscPoCkdMi8xtdxXr7lA2d0EX
OifMsY9LibfVKNvGRRHe5HNfJqFYP+ADp1YMcF4kj7KBL+5uDT5IZSiawOFpHNAB1A31YLR4F1lE
/pY5JQZMjOoNYWkHrSxxjPhSwAZIoLivm3CqAJ8sxdZz+tdyMjuD2ybRoZ4B+4i4Cfo1GwrdAKWQ
+3mieRJ2zu2SOy/d4B5445O08qpPLBcF+nkviPt8iXE3p6hfOxXIIOGDOWjWT7HAtGHbkIGJkR+9
GG6amr6PfX7iaq1iuVQXKD3H5koJcRMdNUaj2PP9ManQmnSiFHE1jNO2nVH2BuGT2IsQypLh6woH
tlZs7/bFqy/95mF14EA4IoQo4LFPgSMeZs+Bjza9tIKW+0ZE+3Vuj3kRNsfc9C98zrcQ0x4czvfC
D2+cqL8TLv/W0PVS191OGlybK1/gDRBtUygL9+NothLNWGHLbVeJKJNzpGPcPfytH/u98Cp7n4ej
gBigNvU8HfnQyx901n+xCR8i31+Xth/7cv9Y2q7/6l+lDdhEBLQJKO8Vcrhq/v8qbdcFF0F41Sxx
IrhXYuE3pwB7v/EjlJyAITgLs+rfpQ0PlkdEi0VgDAFd+AH7T0oblpj+WtpoAAADz+CLsF0JKd3r
z38qbRSSpfbzhdwwNQ1yV44jpMmwlecqVwldgUGJ9TlHGfDaQW2nAn18KdAyizxmpthGucI8DB+y
G6Cx+gZlAtcjeOejzYuE1/Pen3sMvztWOa+mKOAMw+osbkgVFWdTYsrjDJBBQNY5lj06RVzbXxWF
vrZYJtGsha8BOkRwDc6wodPwupp6N3koJT4bb8tp8LNWO6iGvntcx3m53qfnqzMDhwFEn2MXNKbu
t7LpP6bV+xo6TZkaK0UCXuGhDmf4nDN9nRbnuVspjyFsphUcnGRco4vmy3J0qLznV7NtBvgWzzlc
YyAy+EP/wXJL8Rf7LxgEU+IZDwdQWcZ5jmMPekkbr8b/4soXttwKzMtx78I4njo4+ZFI82Do0smf
Fpow6c51rIXvD2njL9O+6/0heiclzcesnLt6J/QokmjWcueWgBpV5dh4oHOTuTmKBvyDOeu9UG3c
ZZF73xs7kvASJ/pSTMOdWFqCN6a6uxEe0NY2Y4vTVOGj6vMi7jvqxqKtrhyd9OK65S9m7TCCWzll
tKNhbAzOi+Hqw8+RgXwT5WzLg2m5w7VJ48pWYLamMRHoHw6RWusYJnx5zplbpVNk+4MoxmA7d8US
a4pWMW09HKCO8HHSSfvhRSbctqK1IMXyYke483kc8PXhia/oGUblx6TVVQxXxOwoTsII5GBsWyiB
usGl2mFuV67tE8MqdRv6hcxIr3ksnaXMIqIBQCofEsrYs20oMDvOJNpCYRLAWRx1G6ymOOCTg8ec
T/o9NJBWvaV0d7lL8dm4jhtrb5SxTwYMEPAfJC4nR39uoIfHpi+9uGe9gG/vdMcpMNOxmGy3hVEF
QxnJjm0zcJXhy6Mg1thHSQMK7lB8EIf6295dHBG7a+1vq6gBbBGG9LNbg2YAn3NVeMsgLuoO9GRD
xwxEBXHwW2qeVtqqz7jnINhWnrubVqmHTFTh6mazH86baGRd9aFqs+xCcMp3mJlbVMGgPw45QNSj
D+ygc+dHBW40VS6AVu1HcmNU+7Q46DvcNR9iE00m68WcsLF/dYr2GWFgMBRhNGWiXiHL1PAzKjeo
42Cpnog26FH78m2JVtRKUYjTYsMwpg2E9dXeAWMOY8ah7xkdtPvI8m9CjW/Whe5YhDACI+djqoY+
Ybp89Z3qoCikY1DGWx92WIK+9XqIRGd8FHsrow+D+9SxuC6GOnx0Q3bbEnFAYxHEujOXwKVfPB49
j8qZU9LNt8Pahfuw63Zm7R/6NfoE2DXPXJhySWu7bKxg4ZV5uWx9b62SSoOICGt9nIo+6UJxX7gd
dLkib2ILrevI3PV9hvAEKsjblUYcZJDfhD4Y2Nlv0wXoGu6Usos1LrarfKxjqqPycxVq/cblUO0K
fyyhgQAMnkFtHJApAEjDTR9TNJVRz3BmuVZn3G9vzeQ88L6ftpWU5aHQFreyKZpMLlOIXwlYyOIM
fAMChce5mYq7mkQABnC73NnrzbO6Odis64sODRNZlZfR1u2b8l4VXZOGHgQInDB221cc1BSbo21D
yZKtFeiuyoJ/c/Ng2c52qaDbltAyg5pm0Qp1n3fsA3Lwmkq67pehunF1e6z96sTsXGf+5Hpbf/JV
5qMN3sBcLjcCz6MDWpuTlLrG7Dw+s7SCel8KKHl5WXpbz79ysxV+W1HjrvWmycRK+0XMBZSLpcEp
5bY52U4a75R1UF/ECPDXVoRvnUqiL0ODE7fFUCS6VjTGMfW/Ntl/W52ryf3Xrc5vD+r6Y7Nz/Xe/
NTuIuMBh9gIfvQSWpl83Zv+r2UEoEUR7iGXqIB/QtfzW61yfRQgggmDAp54X4nnA/+51sDEGeBHY
ATQm6FP4fxSKAJf0a68Tfl8n5oMOxSDvkV96napzpBesnrip3ZXmZ+EN7G0mrgj3rNO6uDXOxA6r
bfkbF/C9dpGjMSRNszO9QhfrnyJBzUMUlWyFg2wns/F1MDz3PuZvyLMqyLioTExL52n2fODKxUoT
5SFU4M38Ngz11hbkxo78sVDL+1Ss7zDRKO6/e96HKKzc3XqqLm+8JcCUIzkMmzy1oH0Er7qY9xjI
i27sk8Jd3mXbjUk7ofpbr+jjHpUuXtZQwTMJN0qPc+zoAEeuhWhadABXp3zX1Pyejuy+LjlJJRza
JZ8va9gVaTSS91a3D43vvYmw8mODvmKjdWXjwlvBgJURbMnRlAkA4PuKBydIEC9eLTeSa3WqO3O0
Qtq4zb0wpX1AgHEWXQyxF3GHVd6PsFZbujZnH3QE6EFKUO0w2HU11NeJjlPcKQyWgz+jFOhCnZD+
z9agefF5OyY9cZvUut23Feg33JDrGdHbneorYLj1jki0TUFQbVC8EkrB34WeB7UAh4AAOo5fikxJ
MYZsV2r8iY4zXMXIPGkhvwaRvAupAEWvvgBNeORmQDUfKnrKWb4vG+eubFr4XiwQkARMHheWnwro
TlC96L3g/BG8agX2NPjKjT6ui3/fLCE0FTdUqdZBEDejqZBQmY+6JMngTmNMjd6q0pljD24wTA4A
sq1+qnivUg4gb0NmwPjN8KBhniTOhKoj3HBD22C82LBAZGTpwyHu6H6QvH4KazbjgLd36zjymPni
olcrkbhw/bRa7KduqT7n48R2XHQ2Bo69wWj/zL3wJUCD7nXkHSJTGcPfja073jtLuGnz9UbJEjq+
t4nyW1ys5kJHe1KRvF0X/lbyCM6iXMmmm0sQu5Ec9m6zHAeOy46w6mQ8k4Z1h1/cCZ/hVjsxRPky
IdWcJ05XbuQkL6ypb/yoOyKofjv2YRsPVwmiCOjG8ds36jipYN6nGvYcZvDg0Iz8ZiknRGm4PTpR
vinG1qR13j+GVfCZO/O54/abl9ePQOD2JOCnapRk74qAQxuK0FgYfA95VX9VZMIttgLIDWdl00bz
G7x5Hg+TeAHiXMXErW+8nNy2jG7aSH52HEgNBnJSIKSKa7++RWYjPGlfHBHv0M+CI0SjFuXFDrDx
o6MsvEw03XHucp4Edf0+5Tk66EXdkT5/QfRlQeDCgxgV0V0Urielh7MlEjIIJhFevw8+7AmGF528
uwrzisqjvWiGm165W8AnOx82w6bMIb9hsz2a6lBvFqlB+MJgxEEbL0wcYD77x5J0+q6fZd4f5pHM
OCA0YiGev6YRrMAdMOdnRNhVXBiYHnFbVv2mVe6wBVMMuUcbkzYz9a7G2sFxS3IRuLHAV5TsRgcY
htjY4csZgvl5bXVx3xGijhWt2HbAR5BNylE7EjgL0EoS+HGBacONRz6I3eCgxUOXiJdeGpdsnCqX
8ffq9P97mb7uP/67Mv3/FGIpX/+gtv/4Z79V6evKveszx0L45z8UhH9XaTzMBNWburgAIUh4v5bp
CBt4KVR3cI/40W9qO1Y6oqSGAeIfUMivGv1/oLaj8v9apsGWY687DDz4+270a5IjnIs2sqFA0g/6
5CFUET13ej6GWrUJs90Tr+u0rSBWaBOo9ZswfYtud1kAVADShpev7iLRaHDFiFcV9GD62uDC7suY
rBjkA0mcbalGjGKN2BRyFHuQHgiWNSjG8OIKjNpjqzd1ANnzYSma10gsJnbwkKc4gN1eJY3X08M4
O+uBNXoWebKES3mwSqaLlzu4vLuPItIr+D833y7EgEQiMtorW4xPDfavHL2Sy3Poa4A25UNjfdFk
Yb24m4aEZTp2jpsGY6RT468+VGpMmZhm4M2R6CiDbsjagiRs8IYNm5tLyCBTjr6JNqOCiOLkA+Rx
oaddN/UX0vcRohrtazcVp4VgdgNV7vXeGePtcVqvxQ5xSsw+uOGrMEwm29tM4xsGSu8MGV6s+Mgn
w9+gVY9IdrFWoEw4YENET3ZRZ++F9B/CytV233zPDJbX+CAQokRfA4Xt92whH645Q2HzYIz9IKdb
n0wjAgQ5+5C5nfbXzWVbq6VM11rfLlV/gXVy0EpcWtc7hoOzMf10cGqemhW+Xqtjt1oTVjZfMYHd
l0P0+t/DA4FdrOaCxPjXPT4WrCIMnVwfzvHHNv/7Ntb3/00440l1SD9D6MJTr74nt34+QABB4jBA
k42T4Pp8+N/suu+LXzme1QBV86qF/qRpYkkoJFIPD51HWhALbML/5ABBrOzXAwQUNVRVnG0McDa9
/hI/a5qg1IhSHTM3kP4ReRhmLyHTsmQzNLzYmwuyn3K5Uf6y17X2mjjS4rWOgkM9lhuQPFusgrgE
tt0DK7gBeJC5tF4SVQXmpMrA4FjqnhaXvoCEBLnf4+AJca+Mi3zkXX5TucMaN7KQsTZVcDcX/nq1
1avGzVTIXXRGbHJhrruXFVHLNFrpuAVcphLJEE3V7iCSkkSYwNE/kWJJSVhka25KGFrM7Cyf6tTJ
6WVeGmSEcVsm4P9ZKkBApuPofhrJkAZIx0ze0IONpDLhLrQI1rEvHO8zaa59WRsBxYA+gEARKCJY
59UXgEVhtuRGx7YWEv2M2KNPz/eqQT7UBQhotONuXeOrI2POdAI0FF2zFfC8uupT2dYydkCsJQgy
3xjIEuyqqUwr3Qzc4vHALUQc2X7iQXHTtGSKfX86AR9tN36b2zgHgZxqRzXJRN02iTp8prK156aB
JyQXozbr6Gybjh2Y9p7qaryPoGTEwKhYvE5kF/gtBGNZfh2Jfy70elm9ekxsQH1oA92LGpwktziG
ZdmcLAYciHNelBTSJs46D4mR6D96g7mnAS2RKo/vq4HfyRy+kz/1U4p2MWtpHW4mx3xpPeToPLe/
eD4U0tbZGrc+1ZjbEE4/+v7aJTXtjy0QVLxof9uWfIhDiY/GHRebUXh6vS6SvrLbtvXPARNyM0TG
SdqxAuhHdCobB06Ocytn059X2Q749kr4xCG/R9k8R40yWbeMc0JrGoAxgyfmGxBfig59Vkk3QPAl
z/qif5yjWWzGSp8Lmr8t7bhslBMC/vJ5ygb3ibbtW+W3QUpUlS7tAI6tLO4gNJ7IXKdAUi9tH33t
+NSk9djjM+z5vmhLEq+cnQbb35TfS6/5XoYBJ8odut00ks0TpFwwout47MuVnrWVzaHCMW2kez+w
7mvYLEmHY7zBcY5UftrgeI9wzHc47g2O/dKYw4wyoI26BY8o07YXFtIRagVH0Vi5Y5HHn3y6Lb8X
FQpH+8Hj67lokW8nqpw2xTXzPvkcr0vB5XTbKUAqfkE8flr924699tfUfG2jTxqpQIU4fed1iOAP
bD8hs1Q0661dvV0+lhMaanuHwy7uEM1HHgQJrBIjU47Yvt8Pp/Ca45fhcDQI9gckSPKleFiRFIRE
BolPXLcAeN2AG6UO9DYqCGLw120BPtYGqOv+gPa6ScC77hQw1+0CjsWVoxtSxfq6e6DGEoIQywgC
qj8MlhPU1y0FFOsKVl2cGJFXERGbDDD5IRDU5aBeq+ZzaJ38FElxLmdEyRbXva2BLMATackNRLlv
/grUyV2nb7YHQ1jz+R5ORLP39fhGTL1pKdzpMjgjkLmJQC2lNfYmJCHtKaTA4lnPkU3lhCR3uGzH
3KRu091GpTq6vNqs1zA7a/NLFQxlikZnZ/QSHQKHfQptnuKVxwTyzCNxmbcVDAnHtSVN1szVnLWO
d55xG9wGJrpH67CbFUXsTo1QmTFfeU1F4tIgisWCIcV7LdHj9TQBb/suWgAAw4LpnyuwS6FBC/al
bIJ70LL3Ep8J6gBJvAIzx6DC23rwNq5A4iQfJY2b/JrtXTGjoi/ZirYN4rJS2C8xOF9L/HdhiAQa
Y8VBseIiKk/G3JbjkTpEZ/hClx3z5vtZq5TUjUgLU5LUhnoXzW2I27Yr9rOZk9xB+M8/ChhxV7Ho
ze1XOMB1FxczZXFB540j2gevRBB3XbqkENxmc3lNqxb9F+Q0ysTp/W3HgjUe2/Zc9KzDVdM8WDaf
qNtXCQZndFE462VzmUyj9g2ZbophvncXk4GfWzaMB0fTRjuHONOjWBe7maz3TUZ2jvsguKtFgLij
Wv3kv/3Uj37qbzXTH/3U/y5e/pOO6vfCKRa1ULBPsH2vTOfvhFOOFS7ojRgeDvxznsxn/5cQLNNG
pCwKA9+lP3VUPkY8D3vBfB+hKyxTof9RR/VrPwWzGTF99G2ej6HR/yVz4QtcLsNS04uo39b+Ms8/
+m1gbX8e3v+Tjg2WNnIdDM8CQeSKBehTf+7YbN7TIWezvQBnz3BRfywNvai8umfd8AFQM+2qrkxr
Cn+FOHqPJQA78JyZDZom5g43WzP5Wx0gX9m7j5UVG9o3Xx2FNIQXnSzr5qQfJFhWoW7AxjB58seh
9W8AKxrAicioF/gQodq09bLxzbJClXTZfhZ9/jEx9+z7oBjTZSiDlNJSfW09sLwQwFRG4bvGHTKZ
LxVOcdQ++sWKud4MJCgSKpHqArJk4oKEN0ETOGgBu5eoK/wMQRxALZROt9WMeKzvmWFDOqjGwIGP
Y1e+Sc87Mc+DVFNjBQrkrp3SZqc1Fq90yJbkTG2BR51DUcDlWfWb4yIdSuj8UUsHOxCubUaNiK+l
YVpATQyqGvoUjvg2epOug9yEPQyNazBRL3ezDA/VOiNEv8LlHOShDYL3nECXHQLYVWCjrCzfB6QF
cE5gbmbhTqHPcxD6YXpKRe69goiH6BTs6padqG6B+HjjWUFq4rWfdU274wtOVUOjp6pch90q1W2X
G7RdqzgOpfvatN7Vy6oO1KGPgyLySm/BeF3pA9A1k4h+FpkNy/2i2jJmFWNQ8/jWbcs+Nly+WRpl
k9vB2CyuqMswbkA2HGZ0YxEdn6nxk0mwC+/5K1bX3MgS6m2do9nN621AxzPQ672B9V7M1bMYF3QG
0bRT43QSnnrgqIkYlNWzp/snkgfPPLcb0wH0WtnGmbs3Tocm7oZo6/j9q8GbRy5k3jpAGSRcATQd
SZez1JfzqZmqEHov6De6YBgZwh4hvAC6Mg/ecBdsqrJ6LfIc5kE/VBsHC5aCpv1YTLULhyqjfvNm
O/fVcdyHPsDMLsEjjHOUuEx9XmV+h6z5GoulOElEKLekaIBQOAGO+ihpGysStBtV7NZwGQkwWacR
YxauATuHc68PZcnX1GnImDL+UEX0xSK3t3FALMeg63D3VNODS6qjY5sQOMiEktiiy3EIu59DmBN2
seo4Am2LEWbrs0g1IzTuMs+mnl+KweNZyfiTy5Htjto8/IzUBmhFmLYmHhsU1BREfd4n9eKA3KrK
sbzMXclPLZb3pBE+itiXDaA8B/1gpYxIqUDVVtZxs2GlfYxYo7w3IfcGtHXAtzgDEI/w39B2x2GY
bxrEEPdIOlJkY+AcE6/tdywMq6wo7YmTAqttZKO3ZGXbHHEQZPY9LKKhqkFIpDVAI0p1E8Auh1Dr
9JDb8Y7zvPnC1uWpy/33QEL38Mm5EqROIgIBe1HOKZce+E9FGHBQNkOKNvWDYdbBrRrk6tlKfT+N
3ZQA0bmhQPhxsiRdRVM/IDYFrX8M2gAHIsEvHUx32vpF0sAdwhl1KNp8Bzs6q0YoUutwAhWCfkqc
XeU+S7hDvnUPE/icrZ7lG61yBlt4AFSY8yMZ3DnOaRl8bibHS1ZQpwCjkfd6lKSeNmPpb/0Abg84
7DAR4SqztSy78xrKi+81OwkqjbS8T1Tfx3NtsWNoYimOvL0HJywrfN7t1TJ+4k7zWHs1+EkY52nf
WZEt01BHOHMsKERu3jQdHJy/zgcafDddLMZ1vBxNu4bTG8ya2Li1yGDcjZUYtxpj+BZHv3jOW7yC
Z9Wjrv0S6I0bHezSgRqoiouOGGZNiJwABTwBtyV4ZC1ilzGtKFpdLOBIF5rnG0QlHnm+PIaarS/I
8pXQ302/YfDo4mCaN8MSYuR0R73F0goDHw/UPxxn+9KVKtzMUPwALpZIZQEOHXZ01PiKp2bjw/hI
l9q88rHZa9g5c7Bktjc37hIcZLt8ckWVjSUiJqYRn6zywKK20RGs+7g3TtWlJlcLdoQhdti47ivC
mn7qz7R9sbwhaWOgu0uBCz0oLeaQ3H/x5mh4yD02b9D0R0ll3eUH3feX5RnK7k/BUHimCKRzglYj
wmM9sM7nFznFq2vuh0WlEW+rUiTq9jCmsG+t/6cA7Z+/DhbKIdXp47b/tQlAihQ4rtCXWqlzz71P
OJVuw7p+w3HZIQoZ4QtY1G6cm40K5a73xEkAAQo9fcRJdWJ5H1fw80Ru73nrZr6AKYslNrrIvxnL
QUPhFqBreOFuAQHsXzrZ7Y+Q7//5ad/en/7mDLFULFZG9tb9hQ9ntTVQISVColhlUyyPboVUnTn9
/Yv8suEI3wOegwbn+grr4TPChf77JqnHFL3UEjl65Oh66NF07xscDG7eom6MIxbHOOMLEt7mTke4
BiN3P4XYHmGWBgeV796tVY3tZKBxrPCjB42qBKQai9oI1oOZCaXcQ9AGUN+lBKqLtXn4zD3cN7ye
4NNgg8o9I+pdDiohGFu36wSHqyc8E6qUmRz8L07nQZHubIJTiccLjUhiWsBNopNQshq0NoLv29X7
Bg7qfYaabhkWZsyBOi8YCuMACfWdS6bq7IqmjtcZC4MKghlSRNiPQ8riKbekfmwRG0kjgtm3brCa
DU7pjkPYHg1KHLlqYlhzkEHfucGiKp3OK/gQ4qtT7r5burEs2ONcfA0d7JsJoBwtFX1V12yiboA3
NeCofajvK0XrAWH/utfDmnR26l031AxBofkAl/Rdlp74gll96/K2TgMlzp5ZVez37ab0sYfGYhys
OVeXCLwO4et8bIP+x2KOv7wryZ9eD7ghQ1wOIR5ze33gzs9Nc+4jpIifDRfslXz3MaenazOqC3fa
PsZ5+oYJESJkLxLCZyg735c7qTM+FXBcQgY7gAPnAeM/wMgzM+ELFsaITV+zdmOtS/c182D/l7JG
3mAMM9fQegfQuUknpPxSwNfoR3AQubXBqkPWPhR1OSdE9DD4YSPEQ9PGumk3iPoiFsPfIyzSSEZi
kMiuvU/cW9A7L8A4B5ICfWoB2zsSCgt/AX8Jfdb7yoNZxs2EYwA8OtfzYx5VpwDceGv8B1CjuEIA
ZC3eAxvHs6zEQ1uCbQiiLV+Gl1BirEff6Ga8tegF2zHrLShFhLCg6VVO6mIdYwra8N3BNZE0kf9K
fOeFiLFNW+zPQMzK3YwrXHpnNhmh3dZ1q32kx8wzyBiLMaUSnlEYTscAm5smMvYo88DK1fCIMMMl
Cud9b5Z3cFBfWh/PTQ14hk1QZ2mh743yxoj5FGi+mQxNRQBPqdSQ8qLyDuKf3CP1nSG8mHGVg6JH
Q2N4gbkEN+PoRHdwqz7KwMlBArgJtVhgM1jIvD0yd8WQYKMwIsL+tvRB/YWkqDNarNBV0aFKK04O
FhFJMj0bM8SFU94ysImFMBtPOscaVVxMBahB9To2MIMRcgU/gjWZBFVT5dNmQHnXXQ0cw2mrVEln
W03hca1kHERItE2kmJLexaG7emRTEQAoU3ibh2RX6AFsZHvSIUPXOyikeBukPxYVHGgxHRuvgrd3
pS8BJxLk4EGAIYvr9JgSFAdtg7yxxSLCfLrlLAvkhD7mUs8bvmwM3cFXesbqQzB77pmzrsvmnJ4q
gVjdmOf50XpjkPRYHpcE4Ce30wh6Hn3DziyQyBce7LoRXUhgoB0FIG7HvCP/UNqud+K/V0P8OLl/
ulOvfPjPd6onogWIp0QQF3V/7M+1nrH7BKTsdCO7M8HE8vel4vcO6h9f75dK6gmhMV3gZDDmG8Em
hvn+GlApXia6+/sXum6s/cM7A/OD3BagrgCpj9+/s6kfsBDJHcERkaVAcm/ukzL3rkvFEGc1Dq65
eTw2TenGBtsBz+E1dcErg21jFXDVCf8v8B7nA8T23az9EEamfXJKc2Pc4EGhfcPUkwy99zAXyEXp
odhgi9ibruizI1RzX1g5Zkwg3l0ze2SVC1+BZAu2mCVo8bZ68INn7Hh5aFZIcz47WB+7tXzvuBbL
nmFvAaLCxw5lG5HKo/Sg0GKzLNIaCTIqz3XTZaXK91ODvXxqDsGw1O+ru7AEeyNe2znqnr1rIsvr
/eIfPtXfr5/58fX9/KGCiPv5ckFwTGPtYDhfwvlNrJ+X8J+2aPzDl/ZL4XAdhR65kMulDB+aKopb
/9M/XBZ//wK/bvypeS1d6RXLhXm3JWAvfEyuWH6oin9ZAK+fwq83FQCGkKMlJQw7lX//Kc1Bj3w/
xbtA4ssbvgxTjZ7kUzkH//BtXJde/vRC121ADNgDIyi114Uj3xen/BSRWKoSuOnaIMcUky8oaumj
2vwPe+exHMe1ZdEvSkV6M+w0ZYGCN+QkAwDB9N7n1/e6kEhBoESGooetN+oXr8EqFLLuPWbvtUMf
UpibeA9u6T7sTW88e75OvPh+Dp7yYHnmG93ttP3PP1UR3/DujfzwtX57o+/eiDMmTu2wtTr1m9GX
PeTeN8O2uIo3TuB4OSjaLZ/zhh2ci6Q/cPx6DPRT+fLzd2H83bt4/3SKw+fdu8jDDk9Xy+f+OO/V
wHL7jXNpuYCg3djfPhjemekXW+cUb+ZdeWPsbkM/2s47zj133UJ76nxGZ77jYy/bQWa5iNmQuJF/
X7nDSfaWrbF39tUR+cJdsbn5+Vv/yJB+q6Dfv/UPFbSkdkkOZorn0q3cetO91pv6VvFB4vmhH/tJ
gOrjUG0vX86CYW94NOzpIXWdQ3pCUOyFkDncL6F3//N39UaT+vFB/n6Gmh9uhwQ+VGuZvKt477ix
t+6KbXhbIiL0kNgj63Zbb3HzrX1qdupnBmnBz19ffE9+fPk/v0cfThuOGmnp6mU+yWsVWNN0XKXs
NA5y9YtLSZwqP3udD6eODdRwHNd8OVFTo0d9kefdZD4vGHjknlHU5ue/1d+fod9/q4/NpFRw+BtN
OpxiPBtLeF1HV/+3F/jQ82mznZtmQQOVGUc1ZQ7o/Iqx/os/zEfUkVTUdmktfNGq+tShta3VxxUU
5//t1/hwinYKMtrRSvvTLP4qKwLiOfV+/hK/+j0+PGADpouh7IrlNLGzTswTiByPpebPX+QXT5f1
4VQyw0haGM5xG8ympztlkOX9hQYqA7msl07qaWRl+/OX/NvfSyhgRIi57Ij1y/uD0EZJF9ZJP5z0
4mubbjItZsi3/flr/O1j/O41Pnxp8sjpJKyi88lIdeb3V0Xxi6nCr17gw5G4ZsWspVUznmQObYbR
mZb/4mN6ux9/9sUXF8q7CwOIjY09nOeY3sBtvOgw7rJzWgTv0HpxEF0MbnH8+acmgAE/PWvEb/3u
JRXmf0qvxtxRjwyGS05V9qUujp0nUFv70b1cPRgrpWsEhae49pXkXveBuNUvPzWX2oGuHS9JsPTu
rvTi7a/e3t9e5O9Ll49PTtJOshLypVMuxEUuuR10sn2peG621f2H0j3I7nL8Kj/TnLV3y3Fyp1+c
XoKb8NNP6MPffZQ6M26chVrCH/3VX1Y0hq5zzP1r52SeadvB/6RuQrdkYrtpt/XW9qRfnNC/egvW
h3tPmgdJL6e6P0nHyp19JpvpF2Oj+NZxeJ13dVCcWVtpK33FS+3N2+wi8tPXXzwn4iV+8mhaH56T
bNTQ6pQ8mu1m3jQu6gJR1e0z73bcz/t9IoqWU1+4D/IGtfmm3lqX8Lr9IUAz6saf81+clG/S1h/e
z59fd+PDR2JLDrsh4qZOTaBvTYAN/rxZN+sZMCb3JdpjpPLsPdAEtzqbPesusKkOyqDfZpubxBdF
wh/Fwf93HTWsEXri7yPeH4D4+6J+bZOn/Metvfi5b0JqKLBs2Q2w4QbjWLFk/66DVMzfFJm4Hxvr
0l8psBqrebby6CcdfvB39eQ3ITVRuQp4EdiLYs+OOPvfbO1pYP/ydDPfRITJihjlJ+m8tuN8eLqt
uEE3LTXL+ayhwd8ouFKs89rS6vCrzMrYADLXy33FOimRrRUseIaoxw2JWQiQemfXoRpPvl2GFOPK
aC2uZqovkdxhtnXCp1bJbtDNFZdLhvGuWU11oxlIqtAjdOeVaX6Na3DLGfsfVymF+28YQFB0SRv0
+DrdsVCMs3Xoir1U5j1fvSwrF29miuWlJK2c8AVoLg3PWWr22dExk9InKmLZtIZTs9JjKpkXkJYL
R0FnlSsODpXlkBnJmV314ZFdHd4kyclc0BNs6G3VxLqRGctmdqyYoSOS0EabMzIxrNpvZuRYjc1o
TtalT7mpXNTmXB4I7rhVTPZSYaFDT0vM2oucRTq1qfkylQyQG0j8W4zHX9c0/WxNCYR/fVQKppcw
QWrSPe7aog99mKTcPlq1H+L0tY9W9ZPaxozj877ajGbe+FaXIylcqhjXhVM6x1GCP25OsnTQ61k+
M1hnb5NYRSTUYj9qUerYrN9vCiVHq7bcQpkt2azjdZbt6soyMSQ5YQvUg9wiP65gna2ZsGTJ6Azm
JZPOlJiNnLW0scGYD8xVKGsZ3uBF6bdRIS1x7q5ta7YXMX+7EYZdcr4w8kWZFhEQQrPEv4QazJEA
Z+DSllAhoe7a1/2i3kps5ZI9lun10I6lc5GMC3PgarUJakHHpIUXTlhhzEow8Y6Kk52pleMzpFxv
dFzrs//2pf3v9JL5qv/z6YWJun8LJOz6px9PMPGz304wrCACMKGROcV+D8vFnycYud3IjbBrIj1C
rS22ft+U3DZnGymjqILIl+KYofr6doJZhHrYELZVkyCrfw1eeluc/XkfMnpBJs5Byb9p8g5MIUJ/
X8c5hbUyczfGi3xk5RIiGq3kQz4r+qFcAbR6qVncLWmkutYsndklwNzUKOAgpTz46JVdpU9v56g/
ZvZ8M8rz2RIiq6xxbLnAyKDKJevBSfr7iebEKrS9kZiulocVBIzuAsg7WJnB9Oai2ScrSUwF625Q
UOieLWfetpr2lb0oK/U3R0KSsbZluBi0mQT6wWbZlKY2RCB5cEH6fFrMkKFQri+Bg5bKl9v6VjcR
NTBzVEFARJ5Wr8w/yF/QI0yPbRk+5I7iI5tAK9t1vpFMzybOvjRk5WQo1kuTWok3msmjCRgQq7MJ
agO5YZNYxF+oj2akb22rxlk9aSA3Won1FAscczT8sbJ33YxUd+FLBzVyfl6q8LlAIyGLM8gACZ7I
ToKOOdtm2bxHY1RulHlqgVtLlWtH9ZdIJkhhVsrHmvPPRXuq+bD3X81QXU9dtjwltcHg3UjY9hic
InFkBlJpK9dqZ7W+Dr2VlZGOHgio0XaasqNiNOMn2xlbRKpVC5g/Hb1VtxJWTFa1yRdN9nJWz4Ed
xzKH5Mq0CDHO+SLbM3fM2G7sKqn9MJcWr+dpdtsuiwMGyTDlZBQopdwlx0SumKI4U3+jGuN6P61j
7FeyUHLhrDtfzMLarFOWfaraUSXTzDIfx64orrtWaS5jU032NiyBM7TzxFUteXWAmoilUtL19Ax4
RC2goQRVtWS7uARVhc+znUg2lDup2ZeqfJWR1xXE8VTfgelA9B9yKX2W4KB81e18CArhukFmNwQZ
RpylUIGxC2/OKFw6XUsFiG2nh/wzs+1ssPN02Hq4jB1PaoZTKxw/ofD+WEzj3UH4gZCW4zbFIqQL
r1BDdlZqCfcQNiJos5GbCWdRKTxGpnAbrXqm+JVwIFnCi1S92ZLILLN+9ynhWKqEdykTLiYHZu3e
hPyGxROPk2TjduqwPc3C/wTS1Bf6iN+n1v8d5jJV/j8f5v+T10lJX/NnFMEf/Dx+6tsxju+e8SHx
S4hI31BC745x+EPggvgPPpi/GnKA5IF3xZCjIXMiK4AW8dsxbv+mCZmB0HtQNgrR6b9x9P0A7YaY
h1yBN0iyOL57UzSj79rxqLWmNNXs/EJSmk9RAnluHfJnZTH2uVKUbmry9LRDYLEblEe+hVp05izN
abKRU4QTx2+BwQSCm+S11qBuIkPe4ES5mZJRDWyrGrwxWs5kSi1ToppNlP4+sdXay5X8LDaa3Bsl
EGBZ94TQHVqEon9h+dt5tVTgqDfm42yPX4DoNZ6dYY+TCTwylxGF1lKuAUE9ObgyTNYALHvPGpzB
0xcZVzGy9k1ZLZfqAgtNjfLjMBvID6L+URNmHMiiXyrZPHC7iQoTk0Y0duBjkGsa8YoF3XIuV0d5
GEP8QaktsC8xEWy51fNfzZRkmKhGdFZE7HnDvRb1m8XCgN4IqZY6zfdrHJ33Vnmsw/oY8zuh88Dn
U6jq9ZRk/hix+M1K9TxU1NuQfDXcgRR9qInIIuhGqCwZoD0ivXaFtiQewYMPttFKmIWWaIg8Y2yS
6KZX0/ozQN37ZdWnI1rFi1ojVhAHNdTspv08R1BTy2xb1JPJPWbAPphwSg5aqMKwsc/jSL3Xmo4j
PZku0KuYQZYNq68a2GlWB7Vb1Do0+NVwrUnxF4OLd8tGzlNA8h5RDPTzE9zijV6bT92iVVuUj1sA
QhFy0qmo7h0lLm8Y+dXZaxKtX6Y5vl41GdPiULOiz9rYtmlS0lPI872X+1Lezb2KJ6wNnQsd5/hh
cUImhSy0J8vc9RjlXTmWWeLoznLS0hV3QVIV0xbs+QPAEd9Kivhcm6tXUKjqTq4ioUci0mf9fV72
3zlnMPj953Pu0/D8N8Wq+JlvpxzFKigrrMtUnL+7BL+32/xPJrorFGqkqPx+lH0rVkndxU4iCJ40
wW8V6btTzhF8ERT3v7PU/pXtUBPH9rthkihWLRRgJqQSYKYI5j7MufOebnquZvkCWP1j6JRgsjJN
OqroZck3U+orA5XVbih15yQ8+ZsKnwjLbf3QVjRwUzk3bkLkwVnbcjzoNjzPbjK34zTc5PZcn7er
5MHuJTbKflFIsPTVYtppJp6aleQghwShxMKQSLriduhIXCudpfCsSb+byB3Sk7i8baJowOZcv5iI
NqqhvmsVvcaWpCWuSX5RLoKMKhFpBF5rN4uQo2it4vJK1uwtmW/6paSZx9CcAD5OcugVk8QaVBGC
r7yBxNg/WUP0Ehb2tFGXUg4iWr89ZG3RKEvXuG7ySwFdxm6EdRDRFQruxbL8MDF1L5JWtEohpLRZ
b4PW0b50iXnF4X2ye3BhdZw9Jqp2S1xM7Uup+lpnRKVwct7RZQZJ0+0HGPh4pZRd2DhfSLXhVolj
lKrzFVkEQk34qSijY7o6t0paW66x9pXbqvJtbaWUa/wRehALHnSikmWy8bQMHZ4Bq3u0AaGRz4np
rTFMf9LlSzvXFSTvyVUCNsWVCkR2h2VBer6U9VfK+oNslicbfvq4VNFeS7vrQRAiZkNmmNgWnWcx
i0jNHMlJnfvWms3QOqSBxTLRLa0LSb7LdnbVFkFSdvaFo9bLNiebFnZCusdd7TBMaF/VBqg1sK3o
SiJAik7GICtqzE7Non7NK2MxOZsq2ces5JzyuGV/WSLDg0Ef+QgZMpIBiGmLsuoixhDqybl9gbex
92BRUV8vFS4CzJOdUh2GVj3VKJG9AWuj2yd66yoDNlHFQPwzjxDwlOGzWcf3GYe71w7I8CA7+GB2
+NwiPty8BIpjd+u9lSygcKtnrrTtAAv4oJfSlWLXX/UYiWw8b4eGBqbMzNaT+1bbMxrBVF4c5t5A
w6RdLEp2oWvD7DkiU5YolQd5Cu+MQup25CViEZCsOwzr6JwV9SzEpO9KNg1W0zAQGWT5ulj6gzwl
2yZLr5MkCswh/4Rl4Nlw2opBkIIYqBtPNjAVH88jUYhyeW5QEkBNkQ7AtJjICoT54CyZX0bWmdwo
LzYuBSJ+lgfQOdTqCgvlboWf0wMoE5LeDOKaN5byacrhdfNZQ/WqQ680k8atVAA3ZX3ukMRo2tUm
jbWOSVX40ssTlBYqHimf4LlbVeVl6YBGOIP/7iBALxfjSz8Z51Ojzm5BmkgTtqqX1AUBT6qK4rL7
bKfQuIghU7L1XkGvzvtjrIPRzJmc81Z41XjDfrSOE2JKYATNTNewytedo31eeqe+iHQBt52l+QCB
XNpzE7aAg5OzMWtu6Flf4zq7ts3SwFGMM9bVtbDbhxb/yspcaVdYeoBNZfBTTcr3RQHJRFZLF86T
iUyzW2lRSaNifcqiw85HjHnWRVp1OW+vyn3s0Ogvo/kKvp3shob8QnbQH2vJ/+5Z4R7753uWeLOn
8bV96v6mpeAHv1+29A0ip55BrwanRkxe3qG8HExa6MEVgsoNUc1/u2zt35iGO45MhBAJSH9pKazf
6EyYJtGgiIG4/O9YXh82fFy2Nmxvx+SVZLJomBD9taUoIyK089FGV08K3g429jaOqGhbbToO1rhA
slC7s3kg9VKTV23rzMMlsjECoMriuSUM0+84NnC5G4Gj4TKIJlNzUz1uvCHGJpBKk+rHYB1dqxGm
mGkuLhvYp7GBoYghBQspeT2SY3HWGjqHtUN8gRRvm6V+CGE0efgmztd2oRitsnGHKPQQFQADMx2+
mJ2QcKpb56aq30UGHX6f2FcOgep+2SZXvdw+qQbRjbYR3Y8FZuOJWCmCVLDNZuN6bpbWwxySt8FQ
79HJqwcTgZ2TKWeTld9KRnHe27C0iVa4K9tQxpxDRE6ISHXVr+F5bZRI+qSi042aaNPLDeq7tia3
u3okWfykxZyUsTFvx5mChIfiiUubNekMLlOy+gB/UEwKYs7Z0c4ovMNmwRpbDnA6x0XAlS5acN8I
7gksj5loz9PAuTeiIsakv2WstEnN5nrOMKwYGN09SV0vtdB8Ufv6NhuWDfkAhatF5eWsm5slLvaJ
WpArbXWX5mDdxU2IwlBfHs2EFiiZjBpsLHyDvEwgsSVLB2zd2vbtesXxZm0I6D7MSv4arwVxDT2S
47hFGpWroQfU+QLRg4rD0NrNdnTTnPR4b+IpJ5rpaC4MFlVbppwCVqY3RCn0axr0Wj9u28F+hPpF
E9mU3GxVsqV/Ld2sqF4yy6z8tKeLUBsFgwJBCXLECnnZJQuwk6JIn9tWe0XY/zpVcrSLGv0kQibm
EZntIo9FkC65fq9Bg/UJKWOkGQpaZnMoDHOfGwrJLfGmtaNsg7+dsdbMCkONzGVrv/U7pTH0wTQK
YNn0xVmzqfVQ16ee3DbbtcEeZfUN3rqGvYde7xyT1PFKxWeGghxkm27vVCnC6tLOT8TN3DIq8xl+
BTIaZzpJ0q4U56HSRs2Lm368aXSlCRInmoPMGuDuEKngKeugBD24CFcz8mtnJDZPDQn/TOJ96Zhn
4dhR+WVopVld8L2wGHnZKVspTXirmP3KGyJ3c08mt+K4qIS8SvGLFk36VR8W17ag1OIqa/c1iHo3
7ifQaOsQdBjh8W6uF1XFNwX648wssr4MLeMsLmSKYRnZhJnyAZbm575XDl11leg6Zr3WvrTtItzP
ZnWaQ4a7Yw+DQK2+6B1E42ZJn7jWaqTGXeZLs5T5YExTdzIa/HoNRVS8Sltt8dL1sxppX8b2LE0R
fE9BQqgtyH4eg7EIn5aV2Ax1ac7DNVOYtUk3c63vSgUk2tLE91KUvWYDXxm1rHi2hZ/BYdiB8sdl
bcWYMc9vCSP76owVCLuZ507LrS0AuSjQQRWjmloJaY6a8kxSZ+NcKYtbKSma0zwS7kP8VhpYzhpi
ghglbwjDCn4gsq54Gs/HNrPdzsIHlzvJTdzyNBs6YJQ2T2NmrvzFifxBDbKsV1VYm5CTwJx3xYhu
YpGutaYdfJlXcuO1CQmkhVQHpiHcjIBA/arp9R1jWopD2KgkZDERaK4w7x7zqruRQxnzalJh2xoP
oW2ogbaucwJ/o21Thu5K+5g5UNoDE45v6nVDehyGEd5Pz7Je3SRTWEJ/SjqmxVGs/66G+a8mEGl+
/1wT3Ax9/9r+WBCIn/peEEANYxCoaowLxaXPFul7QaD85uisaagSvm2RvhUEIv8dChAiXTJNqRbo
if+cMbIyN2WZALM/aoV/MWPk/P2x+9YxQmKSV2WD1E7e3/sZ46iWat9IznJhAMTZoHEuOR1kJm6Z
ZofN0ZbT2XCb0ZAkzwipuif6arkwtlT4NNqi5U5i2TibRRs+ptSqA00hyzEWD4vWbVSlRxgjGngO
7PpK1XHFmrgXj8USGeBzq0dHlKgStWoJPsMlReiqSDA4g8/KcdWO2IOocUF0jl4pyt6opgBOqml1
IfyIEVlUAq1VrxgZ5PuxmAbohkYgi2JaEmW1IQpsiNmlTdYHZXdC/a0r9utEPV5Rl9eiQG9lU9qn
omiPnDz3VlHIy4P5WWUs6IgSP6TW1215ghY4+J1oA0L6AZY5iMBpEJjoXcl0DAXDAYcOAtT7Z1nC
wyVai2SdVAIZ0jPdWGgW6D/W2v5C5FPmwR1neqqOR2aUlcdx2pCDgm4mNsFR09FkorUx6HEIOQgs
qTkHu/SYigNEqBG8RDRGZAk9rwn5ZQkOjsmur6l7uA8A1NiXnWZLyxbiMzRBegMvlPHyNIR/2ArT
AsJAiG7aEKuwJZbkOCgOVvr1dbXtJDCs8VjOBonQrcWJ14H0KYdOTD3w6LXUSjsnwis/iVCSAaSi
SCnhhgxGkVvSLa8hxh2ABL2nEmxCDObXwYoq3xKZJ71IP1FEDopNIErY0nNbGA/Jbq6vYkJTbJGe
QqAZ626RqNLqZKuUhKyMan+fEroyyIVMlVVPrp3DTSHyCM61FxPUMhDYMpNOSZS64/YF6V0i02UU
6S62yHmxO8LC8ZCCehIpMBYlUFCJZJhKOBISERZDaEz2lh5DjEw42fgBRbJMT8SMLLJmekJnLJE+
081SQi0crruQGGCfDADcc5EOCUcdZFdW1tqfRZpN1Ec3VkgYClB7dacSedOHQE2gtrEOnYmmSxrh
3tH1Yy5NV6YSfyqRR1I7FnZgdOZZYao7kITEr0TOxVyy0Mwl1fCsGEgnmhIXdyucI5KKhdniopql
fVv1rbtM2QtxMgT9ac/1AixBH0B6R8Urh9SJvLACy5h9GoE0BPDrWhyJ5cjuoLvUau1LquNJ6up4
p+XL85QydlPLG2IwUq8w1k9508tuJxnRxjbSdFNHLPP6ED5A1VypESKINM1e0xXwAlS/7TpMGLRy
yXQpQGhTo+SmiiNAVlGSB1KdPZRT9aC08eKao/7UyulnSKVIX3p8VjVXqODWnMMNvYdCfMRsfrCd
QiZUxgAaXB9Ctqi4MVlkYFPCxSp96ptla6XVGXOg3J3wOrBDtR77FTNYFmnObqwtx+9IP9xNCg8e
oCb9Qs0qW/Ibsvu+vN0G/12LMm3jP1+L/1M8fan+5loUP/X9Wnzbr+kqnLlv9Op31yL7ON1k+yX/
laVp/2ZxcWg0z28iifdB4PZvKmA92uQ/dBfWv9m8Ae384VYUOjMSmGmFyNHSP8ykq9pYUT2F3YWc
a7cZ5ZfaGUc0j1fZTKU+iQotkskaUPRduiypX4gqLhT1XD8PIbR11DvWwmVEvuS1rK+rF9eWArO5
54uwKrSroiB2+LdKq4pJpqiVvRORH8ExfdOK+nItK9tVqvlcaqg9ixKiG5t3yZNmI/QtUaPmI5k4
bT81J5kC1jLhUVjjWp6l6pvzkUV4FLL1UUXp28HBtEU1bMZxxKipvI1LG2SbKJnltts31NCh3UdB
lym0UHrxSlTxPTGvkkjg2VVU4EyacSQ1oNVEcb4a0TPzipTx7oDQggq+bPcpBDRR1cdPreb1TrSr
qjDyp3EgG0W0AajywTvncwYZroNdRbcwrWwe5779MtBHKD2HuiPzC0G02Hf0GosEtWEpA2k9G2hD
Zt3+bNCWVKI/cRYDwAUtSxu1l4noYfTRJrB9Vi6YhYr+ZgBohacNOxu+2ijq9pboh8CxXKuiQ3Jo
lTjarrrSJrtRdFGJEisbVXRWnTXSY0EiC+qwQuMsOrAwmwBwy/YZSRz7ZUh0AHMxuSclvXlHEyw6
uUYjbfoNbmg60P9Msh+DSPR+US9rXkg7GEmCbJ3U20ZOD11m3erO+qSILrJYMhdhIWSK2PErMQiu
sVhDu6l3kzyqnkkrqin8LivNqaMVqZeFSilf1npf3lCs8cJtx4ayulj19oUaqUJRJl3ygD85VcLc
PgXtEmfKY9uM5y3xtb5k6+SxT9orI4dXpIrLputxBzedHe5IlH0GmoYDkbfiZRDJaCKGGwP787Gw
5cOYpp/q1TmCIQMqWsWwhKSzZlm4OmSmAH0UKi6EQBjlXXfq05Wvz3gbR+FzE1v2juiMmXFRcROu
6P9ndXhoNGufNT02WqM6gDbN2cyaxcbuyr0ZGXdI/+LD2IuMknS94d+czqhKRyIwqoqAK4bfb/Gt
Y0sOr8KGYaPN9JmyGZq+EuoPYAqZQK3MtbuuLA+dyjx8lizLjRdGynmX9946d9VjJJOmUsZxe5lC
8YSE1/hzuShAImCGk3LBhY5Da0zp6lTgkkRdlkGYp7TUSUZEztKr+45sC7dKzRiWz7CXV1veN3a8
txSYIibvxW1MjYgt8S21i+6yS/vVrZpyp/fkiEnklFR0pylpDuSHSUADDb33SHeFQw25xUcNSAWl
kM/L/yHpxmWKsKrqxjtlTo9GOxwqDTOH3t6MFhOktSu2sQSmsSzIdisz5QTG/S4RizOGeJeFPlxl
ZNjZ2XwO9uixCxEXZSM7nqJK7030PPos75auuyVbRnabAXsVGRQaUXbzWdY1gSW31aZYmHap7Xwe
ttoVctQ8AM0UWGp9UIehdJdu+Kob4ecEij8x5ydS2S8RYVH4jt1zCL7KHbL1MY9ZeOuNbQdE0H7u
CotoSgYkbq/Wt1WsH2eproIx56npQzYJ99qQQqbXzZIhpeiGEWweHNEf/3eFy4JpqzJ+/ucr/Py1
fXml2vmonhE/9f4KB3BmvNPBvLvCVZ0wCwfK2h/M2m+drcVeWUFuQw49YfRvpNtvna35G7e3Zgl1
Dfh6Vtb/5g6H9PPxDge8xjAYg7WDJIzEy792tpqkTgqK5+xCkfW+BZSZ1CRJjYUuPdhVZk1BYRKk
gPIvba4UxsiDWuxZNO4wMMhhui1LMfIhkbm370k1JvY9GW9Zv7VHeQaj9BhGKdDEvsQmh3jHI031
Akk3pJe06He1anCbTMV1lS0Xs5SPLiS3pxDFkWe02bGW10vibmOGle39LJXb2qhgjtnIU+Tpiwl+
sdYq/gFtrXfRbGzGwSbGqXPgcqdfx6pVA9ow2Pto6YOa3uMujIpLwpGY9shLTzaXcmFX4dVUpMyj
F3qryFxFrLG9G02hjskQvbHaRSYN7LNCO8egKMc2Ce7BMfR0V2tFHjh0fhzsoRkUTfw4cDb7pVFn
20hgX1cBoNdisJC0fhIlkQDUw32jKmreuPVomxd3FjB7pIcE7wjAfSdQ97KA3lPAzA+mAOFXAonf
CTg+2iPVixSA+ej8Do1A6McCpl8KrL7ZWD3x5qD24zfqPgRdEMWQ+EOB5EfBihcnboHVjAD7+zd2
fyow/qgrtaNdtywnCvqbiPdQNslBtySTiivrpGyjTpk7LuDNn5VG0/0BM7vVpOl5zPk5hIjxe1Tz
cUmtAxFiIxNuqacO7Kl5qRibttlrXnF7ddlZJcuRX1hIX+gGPcswztHpnHeSyoNUJL5R59dzXB5q
tf2kStlZOnEnN2pxq0XxFPSx/aLXzSUbvRMJSGim4t7KLgUPmFEfI+T0VBhxup4rhgzIm5SxTCCG
NZ1KKYM6PBSCfiZAxLOp2kGxRi/rPAHq5Lx2awEurgpmL4aAGetQjZlyg7zU5cybBfJYi+dgEAzk
YrmLhA5r6UvDJ9YuZUhRayKd7YQBofBtgVOWgJa4MoTlOeH/UyCXY9jL1kJccyaLu8VwcNwIRPMi
YM0y1GbLAN+ctQaC/TrrDjIDBzOZSSA1chVgQEe8Y6F+NmcIduFS3UwWs01nQTAflp3lNnglUD6x
hpV1vNCW9VqE0Ze8IrmFb5fXp3jOUim9HODq8QyogSIPljd0CwAMpaXKriZnY/Poy4oe+aXMvtsP
jR5voxRVKwGiUKqzQ9n11e1/98fb/SE05/98f7hiMvrj9SF+6Pv1gSyJ6AMHDyiieJWQoj8Hoyr/
E40X4CZLM9HXf9+U6vJvNH9o2sUS8w95/bfrw/kNab3IQOBGwlv6764PlrIfrw+6P1axNu+O7AZd
vL+/DEbruTPKKNYuulmXKQ7HPaGDcDRTTUMj0myY5+BpQ8JgvWkZIv2l1eyzXqgcDKF3ILVFZ60G
ppG9lVsiipBSuXXttR78GcHE3JJBrAsNRVUNz4tTfooRVyxFfs1ZuS0RXaiaet3A8kY0uCCGr1Fm
tEg0Sgw5MGisu06oN3KH62ZF0IGw/8GIYsTh1Tp75lxcGIg/lMkMnKY6WIhCMmPV9iucFg/EG1mN
SEeibA1UISWp4+thiowD1K9tvbTPNqITB/HJTAiEm6nsNDQcLYxui9IXo0cUW3iEka9MyFiAlehe
nMU7VShcarTqBF1qqF6o1xm4aqesaA65UMZMbfu1GWMMNUI1syKfSTiVvClqLlJjrA9z0ZOAntA1
WgVD4EwocBw5Ck/dmyrHGVZmNvr6lZkpZnvdelkTPtya4L8rlXx1N0biE/eyc55W+d5wJIpIoQOK
hSKoSwhYs6yJvxrLardlNOdh451c2iIIQSIMDU0/0Szg6nb6jERIjjRlu4r4tIZxFU04kWqaCFdL
RMyavOTpThPRa5IIYUtFHBvcTexeBLQZIqqtEKFtyrygvxRBbrqIdNNFuBv+JnXbV+B5SpLfuJGO
K0lwWansexENlxT211CExaUiNk4SAXKLiJKDoblsEZITLyeC5lgnLgGCF2fbixi6FIbY1hHRdEVE
SB3JM8k1Gk2b6Eoi7MgLS3eyiLVDAIBESdOkK/xfApTNb9qIILwE2cDGFuF46TLZGKsIzJMKTL1I
lJKDQcu1jdT4dlG7S0hXZUBM0YJkp36uBNAwiSFHLiKYr3Yo5cE7c9Sv4iNK1PLz1BnpXYmn2e1i
p9wtQ0k06kwsE8nPhKhilXDjmhoFDgmfcSsNO3tCSRpPOkMUa0i+ZCLXUU6tMBgxW+1kMJ+DkQcI
z+jSCrPmeofhrOla4dLU4i+AsAQPscg9c0zNq1VBFTNDuJuKjNDPVIFbqOanDEvQDqTh175cn3tl
jDd9rQws9/L2PFFmzdNm08/bxtyby0TQsWSNWzss9WvUifeJU/UQsfqB9OFYnZlAAhd8mXhXFiwI
YGFp7nakZ25BZ9zCAlYIq45IBRidAxsLM5imRXGdcSDhpGNAbzElIrcJ+VopHSSdlHJNuxtpD/+X
vfNYkttKt+6r3PjnYMCbwT9JIH1WlrcTRDkCB94fAE9/FyhRItnS7dBcEd0dzSDLZuKcz+y9tk+2
yl1eJwcnKa6YafqK4ly01gvl5LEv7eGJsconBdhpJP+JJEeNhHTZy1PPonLneR0xoA066ShVTzpf
La7i4zCYX+vUJeBhBm2Gq3o1eM7D7BKHJpIZaE+bfyDjQ0ae5/syma4tzwMILIgzWzwrRe6SniwI
vxqHGEPLUgkNWD9IJsv3RYuG3GkNazNNvIRanV/2SnSbjeGLWvbPlcnx4KrVwDagOQqpvY6pbTN4
gtE5tGW00XqNfBeDOx9J45BgrndmBA5ZO1wQff7Y24x9HMW88kY2EyVw+D3OKv5lp7IxTdkTVR25
aom6y9yh8Acz3CRqWV8K/EMMyRPEHaMXdGPz2YaASaxBoJvS7WciVXKLuIaRJUv3XpoO0FPrKQtz
ay9yhsvN/EbgVYPPZtzxQ2ebWFex4GtzkNkOdHNOGeII6IPJxiVtdTWU2k6p7d0E8JWAW7QAYiGR
5ieQmEyCRPbWud7OKYwzkL+tYtbbCComr6k/Zhp/tl5jVwi/Ff3XVjhXWS0JyyinfbekqpPS6xOx
ex3mocJdsLADp2PcZdc50GFNxHcZAe2xXeycJbG9J7o9A2La6zbxmiH1VE68O3yxk8iwO7bjqgUG
xJT0M1xWRdxjbI1aUi5d5mpp5kd2cUO52Kz/rY2+1UZLcsrf10ZLJmTxn7XR8kF/1EbkSZEEaTnu
b8GP/NUfrbXxRdUNGlqeOFbES1bk99Z6cZ+Q+6SyiKQQYnb+59IYFZm2hDjS+SO0tvirf7I01hC4
/SLZxljI3lo3l++CT/hzbYT2hTBnBf0IgO+H2mB4lrHjW7iFFEgzQ7va3mqMH61J8eEsP5CpSwRp
PwID8Oy7xDUvjLLb50myrgc3bAPHyQtvLRaTV7bYvUp8X5HCRLmTIvIYGSfKmw4DGJGUZgzxEd5c
TsRuoYaYmEFtA30W65yF17VaVAZJ1fatTHHHuMN06VkZ5UZhBFWMVroey7tpUh6YgN0bEIVXqk7n
qzYkZCjTZSzcA6FrtJKkU6NHtVLaiShRb6pEv/Jc5UEf2gKBG6KOsEsvhqpJEYgUXyeCalYx7D7m
Z1GgN7C7iTa4RLX9WmfJGFiD0QcYlT9gBc9Bp4Jr9kZ3Hamd9KuSmTMqKIdll2JOezkSahLL6Kj1
zqWBr6PX4uNMN6NqyIWGPK5WSECOzVA9xqr3rJhwoN2MwRsrYiTKD6mYZ0a9831HFuXQa9VZC5l1
VOVXXdUCEOk3HlnWEOPyUxXley2fHtKWcMByQIVt4eNRJjZ2IGAQRw/DSlHSDvlMuqtbpfKN2PaV
icjukMPPt6rYJXaTVJJ5qlMfKRAcYpYMnce0vEyglObqpKyBSs4o8SrStVXnHcz2oTC0aduFnMXt
qLEb1/fg83d931yGGQ5sg7jui7hu6orFL+vALU0iFxh73r3RsXttrQtafDRvJRMDQr6prMK3FAh8
mo0KjpqRrOfxNbKpIPmcZE4uoWAUejImsDA2lFeVuB0ffCEp2anha633yejGvXD5xa45D/uN3sf2
KZMGS+miuWWuYZ71Li+Pmh4NePW9JJibfknRxYFlZya7GIfoxlzbEqreoWKr7XMv3C3X1B6s6AND
tJ3a6w9yIEwDCq0aAOfTzkalJ6eqYAMSeTYmR4tRSDgk3OFjYtLaK0sMmqaeq9HQrwUEzZ1IB1Li
AUDK6JCn7MnHWn9FOWoFzF3FpWPo0meCs5lcBNcdETxUYZlvyeJtaoFVDuKpjNg5e126jmJez4QA
xkuaH+qu/L8geJYz4E8PsmupKsM8C0MH7hEmcL/aOipjHNJM8bTLLL9PzQ/MXjLf/3BuXv32yf4P
fvDyJZCw2oaJllVT9aW7/LFFm6pobBNsEJdp+9anV1N1V3j/Kpt+80EuZ/rf31HHz+avrqgfhM4a
g1wAgjh2HPe3bvvPK4omfXE/Mhz+5h3iZfl+RVlflrcCCGP1m3VyufO+t+/mF4bC7OOYi9nIkYDQ
/YMryvmPG4rAXobLy+SXUQK34c9vDUerIs7LGcgvZSwrDcGo0SWUIHBq09s6g/vKrFJu2HvGa404
MKwKeev2k4dfTU+eha714WUclsSZmaKtcgDhCQOsSrF6h4Vb08grGDznykjFndJIHQIdET2bpJ1b
KBNx8mJk1nw9FVO0rWDmausIhT58fqKZRKCbM41G3bZoZhby894MlTwh3KJzsvaZzIyEcfOYzfo4
B0ZvE0u+0QsybQ55zr70NpqhUWxFHSb6uiujhl1gpAbCKQAGDqRRsY1NtrgP6rVcUr+HlLNFjvW8
VdmLPmDf7jUcPpM9r422hyU86d48rrOe1GAwJ6EyrwuzUlrCaWf7op/amEBTvbRvhW0vozSnStZ2
MbVbDXtRdwv5qvHWtllll6Nux/q2dvjzFLFMm6XpwQ2oI2IV4EKXzr7ONEP9t4z83arMyOnvH9Hg
M/ufM57+z/8sJTEJ/FlKGl+gGmAt0H4PLv2hlDSZmKH9oyn+3a38/Tk1GcCpKmc4RzdF4/Iwfn9O
Te2LwUOKLdm2DTAXbIT+wXP68yVhUarCAOKwwJzoIXJaFCI/nuBwkZM2mwv9qqCrUlNxcqLUN4b/
huLX3eUq+Ok24jBYtCG4L0DB/wckXyFegyFDKq84fdJ9F5GCuLbm/pALJtmlTuygIh1ap668hO51
qtPq3tGx6FUsxH32KB2zay0lYcbyAiABqm8Qa7NSrGpxWjdPsq2A6rgxcZ3LdCxus1usdq6vV9lV
qQpsX04hVm6tw5ZWBqAVDHaYvLjHmjrWYy7oF7h7Ak5bJkppsQntYUPx3QU9XuegxetWOcB74RB5
Zu+t+DGfYjMrKa6tWxTPN0o+nhXFOhMJQ5yZpNu0XW/feMNZhnkEJEFjReRmKzUahoBMrHjVD921
pcwbafaPnosxLnJeonwisR11YQo0OsgmMNdNeLSdXGzwvO9s8DjbFiy9bzTNPWztnXDNyM/i+Mg0
9q2QRPIN0IUCe8AbnZUjnsN+GfGgvN5o3fyi5cQLzmZyabqQJwDBo8Q2gnqJoXG0+6aNLkpiMUAe
TzdO3W/BpbC4ol7p0NTzjeK3jLqCSaNu3SpTlfl5R86G4714HZJ7Ywz6GgxH25vpird2gLgWQjlp
54jtv7oT5gfVti6Uobf2CGZQQyMu1JzprMueXQ4qQBlrhGxr2VXNAb4hanE75+ZFFIURmzZz6w38
bmPJJkKxrSGoSASCsbJj4HtTFvNERFv7IGzEEFGLb9HosttW9ntSk4agMdR3IIuEHMjpIRPC2o7G
fKmPqBnaOBnIuWw+tEz/0GWmL9u7HSXrHrmT5qdSbpn3XuepG+Bos0+OMRe+nRXvRGM+xQ7cp9wu
7+yBzSNZ5+lO9saWIScVfLhhnOM1a95iKCxMyUU3xvUrtsKo2cxkb06+ZY/YEtUxJcpp0puo3Zmy
BufkyI3msjzS6mY8ZJnFen8iiDFE6G4aH1L19sLS4LzjeyA/shoeUstYJkxSU4lCENR6/aiJIE30
vVGZO2y3525xdbj1a2iLGy1VPl0yNlc1iSgl70ZmigPAmbZDziGDUhJBruQW01E5nMgiLQOFAaMl
UsY57SCYl0Xy2U6cdj1G1UUk1NBvq3GHBGYVm+2pSjDyd+1Oym5JKGEt5iX+kKhXSVNepDaPrFGk
V+ia0Fwq+zljGBxHcUxyzcTYfhAftpxychITMgJ77Sbu7O1Ydp/pHLH0YztY2NWTbNZorvYx6+C0
U3bg0F/HRH2ZrYnNXza1qyl7yczbQbbMOvtDBccpU5oV3YRPgh4GU8/scAEYa2mYu0En21CLmSvP
1bA1wIpuVMBekA9Mol409pmlDEKlaQAFVKhci8uplM9NmTB1ncyHrlPdi0pJzPpu4b9ErtmEu1KH
c/XbTfu36OhfZHE8NCxqNMTnnEPw27SlfPvxuG7b1jDDyZ6u5OQ7K3MbHsbb8oLUz5XyWjyy5d0z
2VqFRxoLLIzb/0ZyXlYuPx/ifPml4Kc81EnR/aWoa8LeGhS7n68G57UK9x4AXG98UUiZ+uEi/Yu+
4q++Ds0whaOu2qaq/sKZ9DruLHaT85UmTvHYrrLs04v2sm//y9f5+fb77dfJ75M7EIg7MXa/UEpr
BNMW3b0KnP/Y2FAiWBSbj//3z2L+LGX8/Yv88MP88kX6WFVbHX7E1bBpH9jProed+uEGLkq5C9Jn
o9UNUvBVvtF392c3yFbn4UJsHtp1uL5ODnK1Qx1/6gL+YVBu+O/64f/+/vTll/nri4r3gE0fYyn8
kb98f1k/z1oxqdoVS61zeI2490J7jA40sphvgDMenrXt6J/rjdyRhJEfUUtfM+3fwPzwv30r/8p1
lzfw3xeS6+x/grJBsvsXhSQf+H0mCSyHqHpEsQbKnl+YZ9oXjZcQ6o0Ou5FC88+Gz/tCDWlCZdS/
5SkuftTvDd9iel3kORZNH6ZIitZ/UEiiHP7pfbQ4W/k8nEyqiQYSBNsv76M6CkdLIU/kUjXLB7lo
9gbEewqlL9GubXOlzIuyj8vyyTLxJTAWrInpUxxEeOxLW2UoDuQbEHY8c0arSAaxsDkEKLrwyRjE
bmaT1WQuCAymKGr8zuzLdR16+CkWLWKCKLFf1InG6MYHFDz3HsJFbpViY8+IUR1EjTyr0a5B5tiJ
8TGU9rJ0rG6bchG/K8LbaWr0XiCSHA31yN7tXKox2rhFR6k2ibaZLA0REiLLDDP+tKguS+SXuB+f
w04/dHbVHuPFnDNE2SaqbWKKJJo9lpFvNmy1HVlu+PdGWI5eOX7apf1JP54ErONwtCAI9UbjqdBL
9Ck9AddkW73qQ3zNOA/nRVK9e0V+mVpsbgxSQZTYLsuHMSG7gnN0m4In2FrwZtiubKKSLUSIU2+2
8k8Qk+txYdOUWbU1odU4jbyRxHnsAKW5q3ywonUq5zlIhGKve2W8dGJprAQEHAEJZ1iQOMx+viVB
lsyXAeYkkHNIGNwbdveSL0id2gCu00PZmRfcjqtOD/hCyE8ZW2hfVTfO7I64Er0TA6+vcx8v/Iwh
WZMkbfrlyIbKnLNxmwv8xbVIvH1VT/G1ker37FFQeC7yKd2NV3OUGs8zKdGELHlef9fbWXTusJoc
ZjWn442VdIeMay0ZF2v4KikySMwuMNiuUlU8LMZbVoKAyA0Fsx+mJpS9dsVsuOy4PpXyKkpCxtlI
lBhp3DkKeiOZoIvuaYwy+2D2Bb9iCHhhMj5WlvhwGOCGChEyhVZDaG6wDTlK/2rmLfZK03hW9OyF
8hoeU+RsJ89EBRQnO13FtuuQHjz2MxmFBtCS2d1MRRqMpEUVWXqyQ+dC64n4dafpNp+LryoymzUK
NHtlE8Xjk9FurQYleScF6MnS2fLF400Wd6dpUO5wc790XJc0CeRj9MqRpMOzaoT3Y5EcJ4know71
hyg34EM34V04Oke0O4iW9cjcGBV1a+p650I3n0NH3tv4aFZZhPFkVCipHaG+taZ3IxuCBapmo4eL
qt0ZLqVm3hgTP0sOXqRptb3tAjN33UOEnry3yclRrLdo6h6WdiUqLJQDFrP+eWc0+apSEQCn7fRk
9a67TSJCpVPBOoxjjrlsraC8WNab4TiADRTNU9PmB8MjksjQ97E6P/QFq3jQo4ZfG3JfoXDyecMi
SlCyGzb3b2jpWPOlxEjNtrvVSUpfs4tz1/iG2jVwRoRZ3rybTYzf2MWSPfMVf2xRHOtMrJcTl1NK
KxHQDVclIVorHf/Nph+m60hFa62p9U7lV8CZdG1M9kXSe+/M13hvOfY9qsgLw6wT3+jZNIMUBdy3
HHFNPEO6Um91r9hkToz1uoLB2iITAdmb7XL8ylrW4T/PO9tnGPXYz9EtKso3J2ebGOnuRTrE4TaK
FIWJV3bDyqRBIpFq/qQ7b7ogSUwrMuAWdrWeDKKyckEiNyfpJmWb2XRzeJvUM+FNjXZXiAHPoOaI
9ypWcAoOAxFOnBFCPDKuv2y8eJdb7teZEnjdYclHJqAi20Bk6IvWUrwVfXP+mKOHiS5mslNWnT2U
awidR8tt7rxFQtwsYuJ5Ll9Ie/ewwg8G+dfzUzggJnbQINudUvtz31yRUXuOUSkbqJVHVMvaIl82
iubAKG6dRma27jvrGrXyRe8peK8W8XOCCtpFDa0qDbqgRSCNG0ulku/vDLTTIgS8iZY6WUTVKew4
vpv5yVv01vX0kFvymmjTK94P/BJQZucotGcLEzDStGw1qHjaFhn3klVYoOvWbJRz6LxNdbwvmDmG
6L9tdOCVB33I5f+Mi0TcyWzaskU2Dv9XZ6GPlLxQkZtzxgZSVLsCtXmzyM6dvOXYsbFaLZJ0axGn
o1BHpl4l+3kRriup3BffpOyLqB1Rkr5HSiACb5G8l4v4PVWJfyf+WyOPmzHBIpH/tyr7TUFHhfL3
VdkG/UHxVyUZH/VHScbG16bwYR5HaIK6JCn8sSZWvzBMJx1axSpsuUsA1fcZvPOFPzsI3r6N775V
a99LMusLg0Lo2pbD6J7G5J/N4J2fh26UZN6ypsbIxQSeyt74pV1McwRGYxc653BsD1FXD8VFJ/WJ
YLJ8qKqFDd3PW1dCxs7jPBofSi8GJFh6BQqVLomfR6O9zeN6CmJg877s+i0Az4A+nMmEWuhQNzN7
VXrJG3p3wYNqifWkELlWzNYZESFYpkx5LlFhI5l7lH2ppdcdmrVb5Ew7T46MskOUEzzJkSqUcxoW
rsTqXCPPUqLnqeriqzCMhX0VZ5NzZRUuwxZTYlhZgUDqysAKc7W4sx3F2IScU3LNMjPsLmuljcVD
z0U84BuSj6nuxcCO0nIn4iSZuIKbC5mYB9lbN1ZkTmg+igd1zu56E9VLGVfv+sI6seMetuws/GZJ
MNaMt7ggZ7JRzLPd6+BLxoc+FpZvUBAqgxIoOUdAtCA+zIrEU3fCq9QW4IQ0M36EKOEyJ0qBLli3
qSsvk6SygkkRH7rn3OW9+amabNDbnF+K5XbXDpHBPM94OCWff6UTiPwyGRH3pBQ7dWZGUy+jtjxz
75jo65uyABxWGEsobaLvYlCMxTA0QS7F3ojZy1o5usSicVB6gxhbk1qXcXBMBxag16He5z4mIHb7
pr5DL6/5uktSnTeN+h45N0PCXv1Q4V27YM99JbRI4nPaLYqBVxL4jrbnHFvDa3zhon4yZg+/LSIg
L243Y6h8WN68ydQRWnd1jhp0Yugfg6qZ7R1RNxBiw+prVzKZsQUy8F7J32XsjYBqiyfe0h056IOz
w7Cebnh7XZta3cGRK8+dxZbWnMOrzGOMGuEEimLtJqxwyffcqCt1bCwfRSPUMi7d2Cqf+kQHjRV1
h45XsGPFbNWx2I4WwnRbrcv1XBAdiVxhrK1Hre3O2BXukq7EPq62D3kU38RmLIJK7YmnXszqNsvr
IW5uJie8Q8B1PdeEGRIxWQWTJoGGCzEFWhNe9ViUpyxUoBwr702txMDaEfFPFpfUrHkZxB+IxpHV
Qj1WiSw0p/lQVlClppKQQNdCoNAXhp8PWYfgUJ4g0HxkmTiI3gXw2YoLOyFlFhD+cSoRbqn454F5
1tAozTwwteS1USu5mbzu0mvMp0GJVZ9HfVglU277cW98zaeebN6qvOnnyu+IQp/5zawcZ5xXZlEi
iUuHe13OxU4xeXeGS0nXZuIzm/SZy9F5sqR1y3Z43A9lytS50fe0iYT/ui4xtwhAbUxFvpqb5kbW
yaWIbGin6U2eDWdk9wpD38WXmaRrkXuI7wuSNzP6CVlJJtPNOK3qwr6TGmhptVG/hrr5ohrZO5vv
fS0N7vmoo59Q9E+zVR7axPH8PM8fctnpa93rb6ep07bCzp/LyTxaSjlZuNBRl5gHxxztayNxKycQ
rUpec1y/GRKdgm7Bx1xsj71VX9jK2K3nlO5qmN8aQ3+uXc/YeWrBQsBzruZ+KAIX60BgNgg4YVIV
Ky+e3nFOsb5zutu4IHfWrdRsN6nltOqdFBN3bLxUtnnb5Z3ry9jFL9eHMmh6RshJBbGuECpBVtit
mOp+DjM70cKiskz0IRhCRAhEDniwYU3s3H3tofGgY0On+c5onViYFjiqGkrrLEbE/kNbE6Kq6IQH
6PWNLChgJhcmkjYP61QUI6+TwCtoTIHA6oCXIK4usFDspzx8Ie6ReBPFzNe6gyp0NHi3Vk3ybjsF
XViYzGurCDeRaUzknDb1vqzMTQpAiWRQO9u4Lo0f5+G8LZL6pXGtTdEoaOzCbUnJfh0rwsbdIjz8
aRIkYJd7G5w4JIfh+722AS1snFrb15FxShwB9SlP3C19Mn5WNON+OEzTgWyGjxQb5wYGonHQKwNA
UwVeJx2jYhcXxXw/y5zXRk7KxoJvtVIo7leRDtrF6oa9kYdM3zWXQGxrOEaZdwi9+aiIGZeFRn8T
pjCZcnLgYufWVRz7NLd0enEPTYr6/4pg+rtCZ/GQzlq2wSoqVn2sNKR+du/k6yIDJipjO7ossCYN
3jr2xZGw1fiqE+zbAOwFaSmGbVXNR6MLTxhgg7RmTAgDfG0kNaBMZhQr4TRnz0reXQBgWRsykHA8
2lRbsXAPW7gN3WkNFZux81yzX1Llg9anr2WqXGWNuE1xu/ooN+x10miwFc3qM5udr1GumpvOMNug
ESafEoVwIDP1uRJ0X0MvzqHXA6fS1CGQdRP6ZZgeC2JKd8mYRA91nGFaDZ+JrKd14dF1MpKk8u7Z
MhQgwd25+rYN6fL30NK9teaxmvDy7AGMALs+wa5DV5TrWYX6qWTiQoO5jmg+PWa4Sn2TO9VSBg4w
Tfsc3RYFZXhywynfIko6oFb2gjpVVolVPOZTcx4LkCf2lANUQLLDC3qoW+2IUulDqdyvcqR9tJmg
FLWyC9vkk+Xfpu3Lbts61bqt+FtZKg9qop7m6JgTVNv0Dqym9NXrk7e45fAdFBXtqbNHFL+8a9wI
wVFzmFtJ55by8uR06gmjn3Hm/UyGKG2xbn4acJ5XrEFvRRLxjznACQ45iQYpnAmCFwqaK7ZUbi9U
YHsxlpuaSoedlX2YrZLk+Upc2jUpOZ581Aw+eTXC+giTY8rUamvk3bsJ1S1yoH5WcJNUJ4cdVTyg
zUPYhgzBijUo+a4BsFXcN1LSjrYgghX8TRXZJIAh2KLa9U2PdILpnKWxFcy3KGvpS3XUBZrMV3QX
gEcAOW+wAzD7mVnwGQ0jiaHmR3OJFI6pO5G+CRD5xlI9NHvHiA9ySr7GmiU2kXRhXybbct62EFp1
d9tMRaCNJ1dJ7+JsYOVrmrnPGnybJAM2c4dCxpjfDECstozeXFucwL00lBxqzItVv+KERvGsy8Ti
Ih6aI4/PXbRYA+nfHjTwqFCxgIw0a3dnRNlOx4MwdGkQukZ1XXwzG6rEoQC7Mi1NeYyHslRxXxVt
c2DnJ3PmXpLM6E2ZDcp0PfHqFKollMAk+gMWHEkpgeulhxIz+GpMFZ42pdnOHgF0TalsFCepgiJV
5EYQu2KSeB6EA0BdV0PP4Q7QeaZIW2d6cm80xa00QcywzflaJ82jKRxCuim8lBD1GqbOfeyYr1Ux
Xo3Cs1axU6VEj3S5T93V+kREE3YgF4grgxGuE+x5uL6gAXGl8fotrx21ObxPZG3xqW6AbGeVGYyd
cx46cen1zmkJriBjO3nVvCmAwXHS5onqpqzeuFtwngDhSQv3vhUCwmyvfs7hUGznRIWeN7g7c+iv
4AvGFHkzkpcKx7pC5I4dFh+NzHeGHQMrUnFU1hBUzDq70cm7LTpQgFZeyh3n7smTrEkni8sOX8Ou
H3iiE50viKPfT82sXbUaa9sWuwn+j22lU+3C+3xJa+Gb8WVaEShhTSs5Gnurwe3guSTCkyzAiLK7
zK3kAw8NKxMNoOIkzmWkni2Q3FkxnE390mZUpwA6bRqFUDe1fExltO9i8dw53X3llawJCfl1m+1o
O0uCLz62/DzV+ouotB3BdpyMebSfJ2feJ332wjd4Hy+tvUMtuI67isiGXHkxoYQ+5jNyxbJOjmOc
wm4ckpKIhPlCDhNAO1t7qgaVvWV6LWXxmlYuFvm2453gPWdWeRJG/JhLZqD/NvTfGvolSOrvG/rb
1+J/AvEZ/UVPv3zgHz29/YWMKw4d9ilAPzV66u89PZI7eg4KPNr5byuYP3t6RD78c8ogB47oN+v0
H2sWfYmqMVhzMB9g1wIZ/B+sWdAG/bJmYf2DoMQlistExkdLwN//kEkgEii5cdYZFzzCeezjnemo
LTBlpIuWRlYMTofZwYlrqpU+EiczsRgplyKmiE6Y9p3XNEbh2xFoqNYviZNp2pXUWpbyCQNK5BtL
/FEOCPgQGUsmUt0Rj4RFj6QkrVWJY/GWAKU8NEIYeTa0DGxpiXYrHC8zCaies5ZVRWTLi8ZgFnuN
AWg72EX2GYLmD0omDpnfm26fbNXE1TZe7YrhBmhQtzfxZbC0mGMscaE69S+z6cCwdupYPeq9Fx6b
uk48eNAIKeLRq/2mJhWkVydxtLrJPIUhzj4YRKH32rcFqG6zDuW8BXQzc5bF/RWylYWE9eKk0XuC
kW6N9Cr3K9v6rDo2JV4JyWnIa/NDdgJXBkDtOmL6NqvWpkuV/kXakU2ulIopRKa9RpKUTICgdu6j
ptD2eakM30dhD7vWKBhNKyGp9Tj3dqnWOGf0NON+rqp6a1pDifZ55jlPyVO33Ap1SEMP5g3hBS8u
8h36gla2IZ1FfnR7TIZW2DgXk2XNe87GeCV0L4NeE2+dJV+iifR0ZUxu4pct81KHXULlep+uGStb
d5h3DIEuDWS62ykkpUchkhUwTWMu18WTGZthwAJoAAFmbUvGRThLR7+LG3lOyYPw1ThewNXWGDSW
Y60TpdIv1ShNbxVpGTeow4vPRDWbQ16L4jEZTMYAov4oWPD8lo3573J4cZD8/am1zT6Lv1ACLx/0
/cTStS/YPdD7OhhM9G/zxO8nFmFYnFYm/0Hmt0T9/XlisU1e5Nt/bIb/VBgawA9dnc/F/6CLQGry
j04s+9cTy1p8NCokRd11sarw6X46sVCqOvrYu96lnjc4wCzYbIRQlVFxbShFrK+tGHbDC5uW5poQ
q8I+5IMo/HnwTnbinZoCKzsYv7eU9chEiwOGLtpMpsk8vDKyERqeMe+L0ajX/eBdM1z7imdMwM2D
utPrWwVDV9QKJiz1VsXo5RZUxZWyU0T2ZjU4DBdaWZTI63TxiNldEzCl2hG9sFMZ0mGFlD4+QzT7
GMxQUp51+jah4zyTiweN42c3La60QtHeEmxqI1CcfeM6TxUGtrmR71RxF67XZNZilbSfF2cGtDbQ
Qlb52UxukC6OuGTxxqWLS25mpYOQicNn0HY1RjpE/AOjV7x1EBabdbX47VTD5aclKCxoy/mROecF
nPGcKQpevWZx7ekMMmMTT6zRR5tmcfZpTeSsE8x+LqY/NusDtEB8gBqGwBxjIJlfzCrKy3FxDCoQ
HDf54iLENb2Xi6/QE5jUNDRhgSrNAdcf/sNqcSIysct9vEqIvqbr3Er3LYhmrDjJx5QPLowCHI1N
GbISRkdlRNNrofcgiTTta6crBw07pOymU7L4I8PFKTl880wu7sly8VFOi6NyxFo5Y7HMlUI+8Xoe
O+tlzu0LhOE+qFmseQnhBeGtXLyajUyTNkA6VXP86kVP8Q1xMFpVGdAQgLAg9wHNRpazz1rXpE4d
4q0AwQeQPiKjgIsuPjhpOWzhPxF9yHtAXZsquCiSYbzbEJcimfWTNrK4LRliDtZkbrnozCzI+jHa
ariMUBsUjX5ysqyHdGK7O9Bd6tO/Rdy3Ik5DP/X3x+Guz3Ezf3ScfgVX67T/+P//73c/BR/3x4lI
Vil7F9AFCGZQNf1Qw+lknyL3sthIGCa6bFY2v+9lEFYvzDtLBYjwrfCjKPx9LwP1QFU13UTA/H2b
8w9quF+FMqZL/YYzAhsG6m84dz+fh12PI9UpLXnVqwdsUMl0U7bbH34pfyGg+024/bOqS8V0AcYH
MPcSX7X4M34oEzW2oXAg2+rKkMib25VptQgaY0MvjKtYBUC2yG/H9Houhe2e4zh2njgh9PQavsjk
x2o+6gTFVXA2y30djycRZmvbEOtZaIwxZwMqSXYVWkqQlcp+aj2stuVtp1JGTrG2nmvnZhTtLpyo
T+J83BSi0wLLrA9KRaSSm75lU/qqYIbvq2qPKfiJgoEhhIgvo65du3q2d+KWdNWx+cpEZltlQgYZ
J9ZW1GbvK0grV50ld/VAZ9w7yT1Es9pofX68p8hW96qH6tTQKig2xWfWejHyARMpSf4ZVtD83Lzq
iMkYsfC3zabK+lPYOUtk7LJCllRTlaO+jW1xwAKWM5Iv7gYtOoS6ft+MPN266B7TnHz2eJLvrW0e
JrMpNnVSXRTxSC5FjYPREqHlh2VzixcV5YQJwy6ajIs8QtzUtcZ1Jr2IO65/UhKD+D5nxLDoYJ3X
u6+JQ/SXi92M2rdEmG8eHdmY7M1rscrSOtnZKpQEJp6RPyY9MTKVjg5hcFM2T/Pj/7J3Ht2NG2kU
/UXwQUZhS4JJEqkcNziSWo1UyKEA/Pq5UE/b3W175njvzczCpkkxVH3hvfuMvGTnw7qn7LUbR2mI
Mkx5p3J/CfPJnrWays9U1cEnY/IkO2WQP5KdtVSwK92o7YXqexF174Srb/2eiVauzLU91syVZPEY
zoAmwlowJo+Ms0b0TdAN3m72nPcqWQx+U3Pee/a7aPM4EGnyVeQ0/ZEt5qDu/DtUUV/tRK31Ovkg
mFUxrE73MamyTIXEuoShNJjtm5GmJPzCKF6hxD9gPGSPMXTbRCySKguBrd12amNruo8Dtb9CCnA/
RD2ufNkdYitulo3bLQydOig9goOKEMEHhqHNwA1ILhBTc5HemtaSSxAzyPGHx0xnzpBM7tc09V8c
I/sET1lbC4zRijI+Oxa5bNZRmmDAdPT7aKpvC9upYPlZl5EkCyguY8WXdXwZUhJAKlUDiVe8H543
P2duiDyc+3tIiw8bHsh2aPT7LJJMV8CXjxrJhUPUMXXXvnaaeAbqgAogi9dkwbNLBSnkzwAN3BKz
kTVlh+pTWKzspg5xR7Jow6FQ3zkRRGbqCr7lgI3vMzKnDs48pleupe7q2uQOqj5yJHFJVkkSAKov
sLlYpjFaR1TBDiBTEIibJH207Q5HfSiZcz5gCh5BCE3pRY5JMtG0m6ZP/aXSkHRzYQ7JeCB6ANBz
GTR+Va5b6TgrBtHryKoQbVtHu3VIc2Lwr8FNqPhtLqD7U1t6T7FwPhJ9rFccazW7PGObywooynRO
OftKyvo5fRgpAv1z1NuQBWbrpimMDaTOm9KwDsrQbuAbBK4WPZgZ+FvhsI/Wz30VXdGIX015fJzb
bjuzlgNY94URE+ZYj2jnFvMltv11VkM2aBvARewmmmo4eV65aeoM4jWCOHa7it02w8VUaGyYtMup
ax7yxM82odl+tGAIzXp81NoPp+ebOLje1rLhhcBLUmQs+6GiiE37SdM2OnSrBy8axl1dk3eTRkQg
0PZ1FS2W9ZSXNnj9GZbfUERQu1POrVVW2tW0Avdr7bqpbNZCUpcJC3dx3W5hjj4pJR/aWntG+mZd
670zX3Hh1dtG1q+1aRzixvoyhuKynoERSh/kUs7s3WFTEST1INZaSnR0Puf+HSE40zHK49skit7Y
kWpLcyvPG8ZbFJsdevKC7ZjdAUY2+RRVfJckZRr4lnbWD+1Tb5QzyxEr34aLR6Di9UGi4O5Z+xln
ACmEbtD21XypdUK7c1MWTdPkq020hIctbGkAYm0f2J2X7/k1i6CWXWC7w7AfjE7tmKeXawv7+k4V
eky1B1g66tgzsjhw9oqk2T217BUZHTetHS8jtR1NKAWqFgLgZPM9u8YdpfZTY4y3kdO4B/w7TyVe
wAUmFp7+97VL8fCLlFrHNsHoCO+j8IiU+fnSdWVf4Yyq+6tSkANgXKbizuVVO3QL6f/Tlf9cRSyy
cjo9zL0GIyKPQdDSdf1wwbdtSSygatWVCDdh9lBP21j7P9Lw//cUyz//4SmUrKVUvVRXFT9MSLCr
eHixq9v//Z795ZP4NJoetZVhmr88SRuT1JsWSl1ZzV1dXowafMrD/36KP38svFU/PMViN/jh7+jY
O0WGPaorW9zm9XbOO6B9l4X3mk7/55kWjfPPVdfPz7S8kh+eScaDk7uEfFzVE3z8ggW7edbnjHs3
Q3424y7/33/Yn30ShsAd6NggvCwmk8vL+eHpgBGOc9MZig7oyegQ07l3UXw+5f/2Gt96BofG4O97
jbtevjYff+40lkd97zQYCVPI8+7jh8E8sSA/vs9elnBbRGGCdc0yEV6U998VYAtok7RFhGGMYARn
xe+dhoVBGxc2AxNU+xahjP8MFPKndAmeGD4Iqnz+d/mu/PLrisIa3GNe9qeZ0J/VmPQvzcQ2MMs6
YE6DDKZGPiI7TNYkaR8TcgUCx1AtKd7DVd6WB1bN2qoFOcxwsga3nxDZmh5ZfHA1ErFMXuEXTHnZ
GniFB/9Pcfsp81jOVP2h7kZAOavLYtQf1UyWQ2s/+TUCUYH3aht+5ovjf5R0+JtaxfGKuweoLlKg
pEofHFG8VFN5P8QoKMuO5IPQdR+aumPUUzx2vvYYFhB3XBAdVnIcsviiK5OXthRoDhBmNJbzzrUH
h5E/DC8Y00/TJBTQKJ8JiZ42dmoB/e0wi9VS7Znk3k9m1WyiTm1te+4CM7UUWjM0oJkmvtT8rgMh
3Yu2o5QuZtiKkbNxMnGDfuFL3fpXiYNSxawXysoSExQqdRLV8ITY6h2d8XNYm5dtWbzbtusDf2uo
uSCD7Vv2tlHlo0ujQUujF2l2w6aSogqQ6IPPr8p3ZfjHTJu6gGW3Qqa9cDZtpBLc4s2aa+Gia7Oz
2g4vikgGc4JqAWvaFp4KSRr+PjKdm2keviZ2+uHlzZ1FyGZozU95hMZB93iRfEi+3jgrpZDOmDph
X+ZYu9fu0B7RYX2VqV/ifNN3Jfk3677B8Zbr5qMdOTd2NzGhTrI7OzK/9gS0H6ZkebjT91vb6p9y
GGItajoEHe6273rqxb5Ld64rn0s7BftZ9SczdpDwZMCUagMdj25rK3fOtjoWdwy0+q7uMOVFWTWs
+opPDWobxkryLD+Veotwnkytdhe21XkSgrib8yzCMYLN31HzjScdqgZn29d2vUYrRm5vBnNT70a2
1nNLolPPN87xlAYqky/x1PIZ5mYVbVQz32LS5FkLsY3CYRvq/e0srDM0atbKM2WBWBtGHsp49Gx9
9t6V45Ogx+UErt50gw1iUYaMoha8q57s3ZqyqtTivV5oaaB5+Ch1vdy5gOkMPenXra75+y5W08oa
xAeJaxdiLAd29mm1afwO/vY0BSZao02Uj/dl7dCLojbh24hM0ere2t4nC3MReNhzNV/lEEjPbSSB
AcnOGOfkpwAyQwqJsK8ZNs2nQJK3AbGk2XkRtUriWFv3U04JsApppd1VyCwZWyK5NGjirmiDEGJO
dRJfWfUYPUNa27SSr9BqWSGcKmq/tHP7NW3PSneifez50W1c69o68p3xGpD9WRjVibUhEA5PBOI1
EuGF29aH3tNDoILJ+Ll1sWQekJq8xlhyXTKhYGibWuZTpnQ9OZL92XPOyNgIWM2+61Hfw2B3JyTd
qCOWPinMbIeIr8T0ojv9k+ZghkMUBsAhkEDVeu6GL5mTxPZRN1GZApob++pfG9u369Lmnvr76/K2
ey2SVrJc+/OVuTzy+5Vp6qwXXA8gtPk92Pj7lckmA28bomnBfO5z8fD7lSkgkjLKYovqwSr9XCJ8
F017vy0lsOtDUUBruoBM/8FwjrrppxqONa4Aj89LEAzoBAwdXvqPRZVGM5M1EKYv+8nFaZCalZOe
uGMX2EeXyyt2bkO3zqVzcpDT9As2eOEHN4CEBwPnVm7kFzWIYTmVZ7ItbgAcBN3CILbS8CiAEqPl
IQoVTHFkoWZD7XUR6+pxZjrwOWUvmYFgw3FLdK3z1sjpfeMZzDNzCMAlPSyoLj122KBHV9g424fC
eDMhQI+DwnimokEQTYMhJDmjLe6iXWZoaFyBHrrgoJDIuTSzusWxPFQHL/HyXe35Z66EFnxnMQaD
WJwr3MP+Z0xZsySWpUt2WQ+wyoRnBakalWh67n3GnEl/iTzzGgaBfiuadJ8VZGBs6obl8iYn0grb
tRrfelbVK8UAycNwy3ZRsZj0m12VuPiIWU57qgYPKaTaWn15xLNRr822Y5YRJ5t6Rikb+9amDId7
Uw8ftGY+YBy8GWi2C4xoNqqiQesuRuVc+oNLgVGRWiTNG5ADr5VWnsve07js+yNUBfajWrUXSGpW
jW/cDL12cA1zU4QkNkfVVxMjTa6pvZF0Z8rN9xRQF5FfnHJzPPVl86ZP7Y0fIy1K3fvMH1AWe/vQ
iC7deGhXtaxuZYWro0gCWek75bQ3TScCa1Tohe3H3CP+12ctJdozHHIclrllblL/a4G/yJYEWap+
o0qxY46HY689hkl75WfdMzqYwKM3rjRjU3jxaS7zS9xhK9+ZT0Vr79vRfJxVeUS7tQIQS4qzva5S
tfXj+JSG5am1iImABwk0+Cx1kNO4+ovppFuRdMeK+yMqBUGRfPSRx0CgwdkDSUu44wV2zm7V+/qp
5/Sc6vTUuOZ1PUEYm7V7J7YO1Ad8wj2Amiw/tIZYCVyFflh/+Da7mUI+eml8j4/ypou1bVg5F5hb
twjOT3pKspg7kf9pj28DLwLdmgFEyyBxcT5DWLZusLRFnrHVkvFcjfGhbAFjiKn5aDzzBuvQTTPh
cQujwbn2nAaRr4pPbmizJjcJ9JR6egCdiJKZQeoyUUEvunLG+hIGxYUy+Er1vn2QQ6sxNFBVULX+
lykaT/rItDG3LpiLXY81MJ+xYjwnpRdYdf2CV46vn+UGVRXuWPVNW80KX/CXHpU/xluR93eoADaW
ZhHjYDPJNrE8wTgrWCTm9uLbbMZFUogEPzaOoW3f2E2CwM0mLzQd+cSH1L9KK23XIt6uUAvtQfyQ
OdN66bYejWOX9rssjNYO0V+6avsN3w4+rSXKwu/bqzqMp3Vht+eUiSRyTe25zJNLO8wurFrbGdaC
3K9PlYnVTdX5e8XsZ2vOWrDMEQLKJt6szr12pDiU2OTgGKUWmRXQ5sMZKYCW9utSNykTYwcmclJd
5InEr9tp69wsnzoaGiAWEEa0fD71hnVEfPjFtWrIm8Lch1Xh0IBgdivS4QZ970Pnu2fEWO2F1sut
JIWcEE11pJOZVoPNCZBrjB38qugDsw7ZtyZVvWWgdlHWhqLsSS6zrL4fXIbUaBTuItfh+24kbGIJ
6xIZJDvemrhG7WA16b0PsH7tJ4ssxNHUBWlg8jwGRfPv3f/t7jcZZfz93X/6GF6/vP753l8e9cO9
z4IPogPIov9CxX+49wlGXIzqi1TB4wb//d6nieZGFwRJmEyIePgfrTLWdh3vOkAzOmiDwdE/uvZ/
HhJx7UNaIn2RThnKMjfnL6ObsIeT7YTJdJkUV9bkLcF5kyIZyb8fZ1Ot9MlEgWgWF2KWN0zo3+Df
aGtPmzEvxPCcJ0wEK6/zSRRCbaNbJZZZ981ndyB7/2Ge63vMBV971vG1hgmGHvVZVnmFWtVFsYVO
STfzixK3z3rAF4kJ3jopvY7X0tWXwJrsAfHRvLVKl2y2kNvRDMnnMZ2nTHoP0TS/aaEo1mHm79k9
3GdJd9X49ikR4Me4cW7zjLahHOE7DB361UVsq7XnhuAXPYJvzMeSvxkTuID6K/pDL+IttVa4qKy3
Raw9okdeQ+VYUaCdpIjw4uOFKTzkjqQDsO6DEZ0m9bYWktuOQRTDiC+ln1ySZuViiqqn25lFWjJg
0jWqlpjp0V05qcUYF27ZKqIr2via85zPmblxVeiRa6DLM4/uOqgRp5Fky3HrMXYWaggksSeBz5JE
KH9my9ffuhNmiblxmA8McDCjpLFvfa+POh8TR4m0YHTbdr43lML0Ogj8LYGDi3fJ/eoGNOQTHkzI
UZG0g7DEtVCTSylcDBLttNPlCN59wBzfoiJIIxhvuj2svRnYTegY97ZXDWti4z+q1DlKvfVJ5J3R
roEpclu+OHHY33dF8ZLIjyZ0aNUpER27Jb+qPx8bL8XfWwCL0bVNnFWYxT1IADoS8GyyzknueJxs
BDEVa87cmV5rw6nvMbbdRLl9Y4B/xiZz6M1xN6ZpuE+c0IJyHO4LkHHrqLbOpz6DcK1V3mHSJiLu
c/GgDY0gzUPbKt9EUo9Gg7yklQjVYfadbKWXFV1kVAQ+JdV6qKtdkrBM1D0CU8yQ8oysX42RTNP0
D7OUj9IxvyLaZt6T1k+6KC+KMLufvPg5ypsrRK/JeuwEVeH81DZFzn8+3oc43dcS/V0xdmd5TxCR
mc5PAwoYnPSv3ZRsaATO/TQBpFw94wvrgtBSCJJ19L2yWXx6zX3cIniuekKVdS87z3DpVDO3fOc9
1wSSrJrePTbEuMyxvcP+/mhM2rjTp2md9/0LVpAbaLZbD5CPhRN9rHTM8u5sXqQCs2/tFshNhpNp
Rdus+JIBOu0HPIDtYl1JFq8KWpagdKarBO6nYDCy8hVKxc5rn+a+HZlUma+g5wsG/xkKOsxGhozM
1TBMd+6MDXkspcel5N0VRXQuav15FvGRTvTaYsNiMDNa+bX/hW58n/uAD1yvPuDs4QsY3skUUiDc
wQ8ntSt+UMYdX+MnrwMoBgMC/Jh73foWQdpTg1ZPXZUhrrq8NdjaRiZ7ypBLWLrcgqJrDPZBo7yi
irrJMs6VGPnnIRxinaGZobaF67+NYfdKEXUVGqDYQo/kO7w64ToHM79pUue8Eq19NVtihxI9Juxl
qNPbqjDwP2EIINuAUITywpqjN6MwznrZTyD5fW3TZeYJk2K6IuSy3U5SFFsKmQ9sb/Om9+hzmmVJ
CV3MZ83N8p62j/rIYQcb2s3FbAAtMA0ccOy54u6mgalGNWQd3Nk+wYc6L3P+yiSrAxyk2MFnzQ6m
KArSOKfk9uzg86b7V5i43LV/f+UfiukvlNTLY75f+Ibzm7v05dzq4hd3tEGSpK/r6GDImzKWqJDf
L3wPFQ4yRnjLDNV9BIN/XPjLbBw9y38TK/+xLvFnMBNsRWbj1vIaqD0s4Ee/3PhWLCsCTb3ulGdu
vC0XMOhY5mgVrqGhzdyRiR+Hs7ux40GPMdoPZP44Bt88jPfmVDAfnhKqSBTM9XQJ8MTBxCF65TBN
NUa3hk3vyNjaQR7Eh72ybZm0uN7CdDADLfTLgr7B7e0rr+/9pgg8iPykrDmO4gQxtDptX725a2BJ
dxBBWowqYzP4LUKPuNmlbeUDaNbjQ0SMyapWyr6vywp4BxPrui8JKLGzFOlKrYZzsvymLZbm4uTJ
rL8x3Ey96YXjVHBl4ugNze64la2eXyRuViKVKMNTqsEwhjESY701qKCFsqZrwzMJhexLdaTJVycj
Hbqgwb5bKozZ2HLM5hVgfruWHa6ddYz360Cj0N2Z9BroiAvnndrJ3w2xVChM4DbSG+0kqVk3YtbJ
rFv8zbLXRxv3HWpDp+swzbr6dGrA72wzSJVbuzIwm7Qt3BkufuuNj6nb16EO9MCoADX6fmy+WMsM
NJ4ZqBCc0ptvGRqE875uo8OENPDJclqLEHcTD17FYnymabvsmeHylhaHGg70rdFSfaxTAJ1HVgA+
I+IyPk3LbDmanOTkLDNnn4SKTTr74jTXbKLzumDjPX3mIEfTO+YeeQGHon3oWb5sWz8tIBwl5tGy
DInhOG4zLLkhsp1l2I7gRGOg77RXVmJVAX6b8hzL3nDeMtvH+TYD7tPEtia++quymT6IKo/OxjIh
islJPY2Biauj/m8BUpYT/t+u612iIAW5ZhGeYBvAz4osaQqz2fTDM9lo7gOymUcac/PC1ER1ycsP
t1oGbrEtTayBTaNfTnMMfFCo9BAluL1KsDnIOarpJl72REOr6s2U9OMmGuZw237SdP89Wb9pHDnU
/v5kPU+K6C9mqAYP+v1o9X+zPdsB8my4eKuX8/P3XorxKhFk7jIS5Yhk4ffH1nEZagqPQ1S4n4Dn
7/rGz60jR6tHDr3jgRD7R4pv708TVB93ClAMHC8wauGB/TxBNUKLxVrlOad41qzmnu2DpPkuptwI
4lhjgi8QKieEiWTWU/Vtxs+0X9csVlHL/L/53AV0n3uB6XNHkJcNe69vmwOnheDTtuEZQT6sMktZ
ztl1CWCiAjQBeedlVGaHeMo6TW5RB/ZCpZiXNLOojt9KDw2wubAr0GXGq4n9xAjWArkgBbaZTYEC
eREb4ROHARAMcm7x98pPOEYmSzgZCzFjIEIQekbMf9Vdlz1JbUdbm0gage+U2EkIGEmqjd5BnA2L
oXqjvH2JCMFZd24e0gAV23ZEBVfm6b5OtT2GiQ4HSPGmM6jgQAytYLbz+yTS3s1jVUzH0oYOZXm8
PZLVYyjDO6MW13mpb/xp2KXztdG592poH10S4Wyc2P7x3x/i5w9xMUT8/Q9xcYytALG/Nl+Sv0LB
LI/+/Rdps4VYiC3+f3cXf/wi0QiwUBAQ9pYJA0OMP36SDv/EJ3GT4cP3Xcj3rYYF7Q9IO0uP//6U
/8l4wzAXkPMfyhTOA7jeFqx4h0EJNc+voGcfNh8XpBWfNFKHAmdAAyPmiZp5mOqXobGmfNXVHPvM
ZEnlXVO7O/R0qm7T+ynNaM9nNIwnZO12UNRw/wHbefpwPSpRTq89/T4izgjGOVHToxxYmoCFE2Kx
DJN8iT/VM+r5oOs+jNtdB5orvhVdhxHAIYWCkR3iIABvc3qXY769t+kNzLWEUMJvUQCINnG9batK
ot/sJETXGLWqdHrvoTAGPNwTbfxDRbNEHiQAAORqBZZ8xqZ1sc6wMV9Z2VA9W0Q4PUOMJlwM8WtE
JSXDS083IgGfLk1QCzL7wEI+5xHyWzdc+6V5QJKXr3Mr7Y+65uUnzy2GG7Kj4g24BtNeA30f9j1M
FLAjtXgxSY6cmZT45bwa6EGR5IjE8dapIb0bzRDgNOYuT/YSFMt7bmpWEEf21BbrSa+dxtz2OP2r
cMX6HO+BGKxuh2SNUU2QjNrw3MHrMqhDwwH9gtFTk6bfKtT5W706KYSL/h7ZA//aVDXRztO7+bpt
hvTF8ov22vdaEPnSNfyVRC53h13w5FttRZ/4ydUvtGjQN1G7zB+iT/Y+mSpw+BEjp8+ZbM270aeL
I6INVsUKRV4i97qFsZcJLzyIQ03U43iWe4mtPlwlog9Y4N6u70AhyyQuaypqE+SL1rJn1xovoFxt
n2Km8w3QHs1f0x2v/j25vp1c/7M5u319b15zLBJ/0aJZP7RoLFyJiOCg8UwPKQAI0D/qCFxlrol1
67//hEd9LyRo3ixOM2wM/J+JVumPFo01rSHwVViOWJo3RE//YChrLs3eT6cW5yInIK8Oqihj41/Z
tIi9i3YmOeZylDA/bGa0W+KH0s2ie869sWMWleH+huIzPKs0P6/a0d+5uoCNXGPTDElBCKBKGTdR
5G40wZGWT4VHDE6infPTeHVCcz75ffeh3LrdeGm2+ITCW6vX3GMx4LScYJhuK0BMJw7YTRrFDywv
NwqMwDbxxRmClDP2ZV+zcXpQcQ5UJrusZRMANt6zbEhXfsrik7TCKkilEa04cWXA/LBFFdHHrCLc
j9Sz75WrvWSD9qGGuA48Kv71qBjXFWX+pc7RFGW6Br976AMSdTG9Z6ogLs59m2IKA1DRxlp6A97V
vkuCfiof4ry8Nt1o45Z44L0Jw0TdIywiqKKPoHUf3Mq6wZl/xG33MSMhmYor16gUdIfsVPjuFtn4
Yw7kITTDd9q2u8GBTaGnX6domTlJ81o0LNNEj0l+iNp7GgNzNfVdxRkYy+3YyXFV+7BfObpuc/g8
AeYKlpRCB4Qo0efrBTXgXNoz5RQU1TZM/Y3WLWmcpM9nEMQ5HawdOcDpjQOVPRgZ1sErYhFuJIDf
nVKzjui0k5XHKJueF5/HrDW4aEZcsVqp7/qxPYDPTtiOd8Q+Lknl/WdoeREtmEJzIRam7QIvlJ8g
QznM69Fy1WqgLtsU4A6xjOxH8Idxt9D287bzjl3Ytf5L48zJl1yWZBX4hkS6ZRvh1mkR+3p6AsZ2
9vt1xHRgW9ksZPPZTO6FEg8NyFm4CP5LRtAPnjP4HspOGQRUPcCQSdz5BUTV3MFKFvY7ye2156y/
13oCLHtmW5sxnIvdoIhuzm32oF5rFpftwkLReS8tHIBjPJV3fANA7pNItYbwNV4xwsFM06sK58Xw
1tJTnnuZOTByjj8qA2PvbE/6JvGNk0ZcdbciIYy3HhqI53f9vunDZm82rryt3VpeDqVX3GUmUrQK
MCu5fuTCiy7oOhfXds/JHdEHjy553D1YVCg4fbnqyulSdX64pg+AVJGV/sZJTHXeuQbQU9rWs24C
gBBW6zpWD6xVMFggN4fTVaVBZPto6kZbO3A3qJcsVQoKSR0GieiK3ViV2XtGM7+XvarxHIizTMVE
A86wPZvOn9FGzNylAPKaa2UZ4UUcWeJIIhlZph4RDlKDoV5i3AaG12xHXYxBBwvkqIm5XLVGpq8y
Z5w3/95H31paGs2/r6QvXrMPauVfLXs85nv9jFPZwsXGOElw57Do++EmInHPt2lNiQ5hNYck9veb
iO0gm7/fb6+l2/1eP4vfXKpdEPKeQQ+6ABj/wU1kLWrdX24iumn6WgHJnTL1V1Q87mQK7LpwLrNB
Rufkb9fh7ThmRb13zSTbKTabAGzA29b4UGCHyoPdYHByes3ZZyGerJzV+FEp3YdcwmW2HQmUXdke
m3QLMpBwMKypFHliFhVnms8u6XPDNEp96+YAfzE9bP1ZMPdHaDIQPxaQCD5jvY2j82JU52kht5oY
FrlD2t90Q3swh9F9kaOPVjGN/Y2CxCP1cj9jzFFmdFMbLNZ1l60faazDusibfTcbJ58sNqiM14kl
LvlNHfA53AL222ll+6RFojovwvK8jsk2ie3kYPjqSRLjK7T4Njed+yhZSnBBZ21TdzNIi545dA6W
qDapHj5bPvIx6j2u1TpEODAo4kxYXSQ2ZxgZ6+uGnQ2nun9eW1izssbEqixPNdAcKEXRsc7tV2Qh
lx1U5I43GmpYuZ5LzoUprKg7M28NuWIPvSPQEeCT34hzeS5AXEPd8SrLCCxvOptD7Uk08fWkbJJi
uvTQR+gzaq+d6acZKIgF7maEUDJVuWd4+ZwRIsWIDgyD1czbaCJnOKri95ZzYz1VhhMUpOlBED+T
kW/tcmGeiso2A9XJOEia5qEKY3tjNV97BJ97N3P9DVJIIAwIWRG6fNXGFqiN71M59BxkCb6hwavv
RCMgS/pyD/X7Wkbt3h9QpNrAI9Ku8tZOxEk76tH0MhUIZiL7i8dgc5OiIEE7ND/bTXUG3fJl1Ofr
GuvN0BjPqgJ41nTxV9JvgAuqDBpvS669N+0zKifwYEaLZ0nB3UJgohlOtI6raJua/fsEEYLmytp6
Q/Y+kRLBjdwsDOjEbd8GTAoXjK7x1uWLCbrDkCoDtVij+fshPU6LXzp0ErzTAxAAb9UJD6F3zmkQ
QFXBZoZ0Ba318o7P+LVXSUjkAcfJ1tfAfq3CTIvWDGTi/TTolzM/hmt4F94OcTYAX+a7K4Y+Z5aV
WmvAWCur5jGIobVL9rUIdke93Fh822g3a4tUa4Nbz7aS8YDnjqV2XSZnQoywQgZHbQCUdZhYYTjq
w7BVUMyEHl0CnsMyZBpHq6/RkPn+NViDKGhleqrdig7VeGQDMN02hpY9F4SUowYH7msZY2CETbUR
HV/IxrUyWFAR+haY4yNRmUyx+c2iSOR7YxId6xUEuBiqH04AE0lXKYHna9ORS3uT+bgF+7oBPoco
ABNq+9b0i6qnYrVoNYfC7S0qSnGmCcs5MyJW8WWVGguqq3kxPaydDnzVTR+RwWgvI6ci9uC45U21
1SoJArSb9ffaMJ/SPA+3qPmocxsldsVMRk2WIaYuc5aXLSnquwEYw8owl883ZHM42+F5DY5EIntP
+EWtFclOKfcukmakh5qzNSKyGydrl+Rhtyl9+E7p3DAN98V6XLR4luj5hEgChb22BT07bfMiv46d
hFt8gToCwjwXEZ2nQleXONkz+K9dr7W3LGoH8kHgiMdEwhRGdmz7Bj5EDxsHdN4urKq927dfIytk
6c/lgYhO8oNFXm8exZjf5W0qL/x4YL2dtKvShlCdl3D2I7DzbC8eGSJulV2d96H4GEvTWBGDetZl
irm3Me6Qud7+WyF8qxC4Uv++Qji+fvlo/kJBtMRIfK8RcNToaIeIXTIdUmggKf3Rreq/gRlh0ciU
i9XNjwoi7zeoTGiEYDAJxtI+5cP3GgEfzlIbCB5gGfwq/lGNYLv8l36uEQSLTrQJeIEY84nlRfyk
HNaNqTU71KChn2+9hUnYtU6xkmAKSaN6rMAWVgiKsGlMZ0uXtyvy6CjLfq+DOrQX5qHynXVsYcAp
PXk+lihwZj/FVT7ogQEysVjYid1CURTgFElwQJmX+P7GTqp3o6dk7kR/6npyvI3h2QXKaABndBZK
YxLFL64vAw2R8ENj9voencZ5lKtw7YX0VLzsctsDfiwXAmRkmM9gdInoWuiQUOraQKHUobULv5Ko
9EG2IuM6bvaNKFNy1wBNlll8DXXzdQZAqS2YFn9hUpZOMm8yMJXOwqvs4cKtKvioq9Yr3wRQyxi4
Zc7wEtc9f2K/kC/byrjSQGGmkjQy0JjpwshMG/LE2sS8ctL0Si+scZUkhB6rha0pF8omMiIidVv1
DuSRDaTRJ6ssFnI7xyTqogW9Q3xxxewexqLeAbmypHeBJ/62Be9JbOx1W6iGyRiqSw0EaAwKNO7G
c6KB9bWnFncOuNDIwJUSlZxWzNlL/PUO0L+kFQHU7PkevjRh76XTY6dG1RMtRFLCMVOUDeMXbaGV
RkNMhlehc2ssLFNLCW1TgTd1F8ypLSoOrTC8nhYGaoxbfjtF+qI1yXG8LqzUYqGmlq62Kxc3deJt
y7R+mciI3LWRRcRGFefbLPKg+IFhBUBCcCaQVMisIXzXGgu5B7VVRvk7igowsQvRleVrvpEL5XUE
9yo9QpijpjpiEQcKuDBh2Rpv0wRKrA4uNgkNEtAXgqxp1jdZ6MWBR5EZpAtnVvTse5C6WPvGZH4R
9fN73+gWHpYeEdbCqk0Xam2/8GuT/7B3JrtxY+m2fpXCmbNAbm5ukgc4gxt9q1DfeEJItsS+7/n0
96N9nNd2ZbmQuNOcJJCplCIUIjf/Zq1vRZBsp9E5U4ZAlR7Ue1WQGYAe+yrrmxlOxqVsSXKb/S6E
rOqPDhtxdZcBzu1mgm5Ixsaiduxk19DzL2u/J48O4i7y18+oULNFn2IpoZKmupgJvSWOME+nrEN9
JXdQbF7cSLzpYH3tme8rBrq+VEOIpjk40YEAT0H5RmQHDWJvl8Ry1K66oaJsUPJMbN9gCFvguoeK
qbnZg0IOngafe17ETr5M2lanFRg2o9mY13afvvRZwRjKCQmtrhv0Rdb4OPgzHZ3kQpRu2ixki1d5
TiBcHOcgY9p+2ycsucKcqgmB8MIIfAX/DIhk6TBVgpt4P+XepVLFqR3cetXm2UfYlFANgn0mnGPn
AKRuoiM0ta2I00OgBWc9osrNx8hfyKSFdV3JWz1XHTOlspvFxUfHhPptB3B8bR8ZXswbd/1d3cuj
rukfqrE3dQz0IodpnnvpeMi18VXojKe+erfKgXF+OHbqEE7Nxhn8AbZ7ZDfNU8bwId8MQcHABz5u
fofMvX7Mh6F/GTwByVHpdVftzNCxPvlxbh1w+yX+NbkjvrNvSk1+8nwlYKMRQLdNEQqtoME9GYFU
a2sQXBqen6w9rpedzOFM9hFlRM91t7YK/FdchS+tbHdTnAo0UmoXsJBgKsbjvQ99pFa5d+NM02XI
2maJRXda0txdJ8qPH1qDEy7FpABUKRFUTtGHX9k3laKN0nqCV8K62AEySZY2UjPTbb6kY/dYWoAv
uYu3jkfY6zzmK/Xp2pXhsY1Ha1kU+qsxcI7nGRh4VpZGz6qiabx6VyYaqsrau4yxLpZjA7BFw+K7
yMj1i/fZDD8FLfdq512wNgVgVBtCahhHbwJiah4NbwME1awci8UEUxV1OffhjFm14a3qwynriH+P
dw6leTZtwzbcap1z8WdUawezVcFuxRq992aYqw3VFeuJAQ6E1X8yI1/ttCeOho1OMONgqxkMm82I
WBDbhPWJkChc8LGYE7dmpxvLtM/7hVDlbRgR2cnC4+Rhl8lnDC1ylQAIh3ZfBuJKBqBqLR9Ac1UB
GYFii/XlOodqq8ETRXCunlDlfY56wLf9kBz7GYXbDc3RA3Zilc4C3uZlnKG5AnpuMWN026hgOqvD
8XWAhQPahcbrL5WWG4uWXjtDZbEkSYc4jWSFFffOdnH1gf95V5hSNv3EYWs6zTGa0b40lYr/cdhU
UH/ljP9tw4D+BCIw7B3OZ7rZuAOgroV3cMdey9bei5L/BtWqAy0cm/ypdXBd1UwdtsEPp4b/HuHN
tMAS5xpf9QAVNx3IUsDFqQi2f9eT3+pJyqt/X0+eXuv6/U/AeXMM+g/15GzNJkzNFLRus33+DxUF
Kbvzf0ZdDrgOS9ofMycwUYyo5tgPXaKzIMbj/9WT7j/ZVSh+IoOnb77uvzBzwu/2az1pGbwxi5Ut
NjTJZvnnerJr3UFDH9FfWOzV9jrovAgOig2x1x9DxMvCOzZT7JvrMeq6+NFoDYhwoE3DZl9MoY4j
DDPtqQa3Ma2jQTSUYn2RsYbrMxLrPw+qhziUMHGe1o1f0TIjJmOCa/juh6unRnM31jV8JGbKQCK9
kd0itqa8n6XS2pxSXSpfTPio4p4bZcoNakVE14OxToVfTWtpGymPPODLSJpiY9vqMQFPVedL6yEx
iDDb4FLbh8Kggc2UbHYFZdJuMMc2+uhNZ9j4EcKwte9HLKtnvuouAOx+QOmevIWw9FYu56K2GIux
W2sJMrguDZn3BCiv9RRDHDIN662z0KZNUwpHRR+1gGbfl1trDD5Ur5EAnDkfTM7kokl9eKAFXyPH
EwJe10L/Zb1wDHzY3s7cpPshD5CkgW6Hfgqxhm3HdP1NTMyG4JCteEiiNmfJY4yhvnMqyVzLA+tr
YHXF1Zz7h6LSkms5slZKBsPdOkX2HtuTtTUT019D05PbOm/CtY6zjuLFJnXEapPrWIdtVGJWSotO
LNKy7NeOljMRdMz3oNbyHWoULosOE0LqSw6a3EevrbS3AqfQTk1Ju2Ra42yDqvqwe8/bFoKRm50y
SFz1FX78pBH2Ns/T+uBaerQSWhCdec+0AbnKGap3y7CNoNGTh4sUrh9vXNfDWe3m6bqe09zyPgVY
X0ln0besprOp4m065nOSxYiASwqOqpI6YgIqTvoaEqIKCpkWOsuW/JjyBpwS3ES/b27skAnXNBol
KLAR1BFaNEp43R3WdcfTpJZDsR4MuwVLTuqTN2TxzkgARpPEnu7+Pja/HpuzGuvfH5t3wWvd/Ekb
Pn/X92OTpTFBoWxoWMgyCZ/b3D+OTUb1rJOZ1n8/AL+P6r8dm6SLIj6bV8ezCuZ/23DoegLRjHK/
qoT59r/k5LHMX3W9jAFsforBhAAuseNydv/YhkPgwd4Ku+ZaT2yQ/ZLYWEP2j52tmEyW2qUI9GpR
T+GZom5YwODcwW1gQjdhNOkG5z1vwzM2oXsZZwmx4KWzGk0X1akPMcIxd07SblTjrVNionvMfmmq
xYseewvazpfaoqwPKW/MAWT9UL5CnDqPTfuOD3LdY2JtqOgWo1Gcy0F+Zsm+9UeX6KQaS7AWpu0u
Kqpd5brHOvLX+Hs2Ezh+lmfI+63upET+YPdkiougXY6VDLfBJF6TSt8IXX8O9M7a2B5ld8HWeFth
OiBlEwOBpGWzhqbbOF6Bcl7buWa0joPoDjcQWXcmvsCuGG4yQ/p0VcUG4yvWA97c0cSMvZycflpp
mZEBBrUvrpl84QAptqPALhISygiG3ruvkvwjKVo6xawnobmOzrEEChb6golnR1Z4gCBwCSdspPZ2
mAmQ3mE1hNn1yUNjVRoAYTzGTn4TVAEUd8eFDar5C9tqzsw9qRTbrWiGm5B2ad1O2rgY036rT86H
ocFZA/R5MwT4S0hCfYkiA+tvoRF1mNvspM10OSrzfkrDF/Y15FzMoH8nZuUQEjBgEOFZ6h/4g9QO
c4VcibAd10GtOMg986Ztgqcg4v37uMGRKKHgUSRqtwoeWpGZcp3W7XsexXutZuLtkxBN5MmC1BmF
m5HX0QeiqD2WMHkWPDPzuR0qOTDOLLLFZLZE+PEUKTO8L82Iq6mP+L7EZEaE6lpu0Q5f8tx5gtDC
373Ga4lemIdb8cKA49RE4akK3XCv+YaztBTbfyky1h41cHk26FgmmgLcR34FDfuEShnkKYz8BTRc
7Lf5SxmV4aZMZntLWK0GSax5zxvtuykmpqTblYZ+LQTUNgumPxGjx8pv93VWPLRat83r7Bzk+Qal
M2YStMdAdjsmUapHQpYEpL/r3TPS6Pe6EzhHhy32zXEVZUyGMpVf9JHfarSv87Jvlhip75w42TT6
oZyumu7saeFm1F3E7dnFsLJr0Xm7xIIh1iqXaCjYrADQFy0dUJsTpSjmgFcVIXzW0tCj0A88BAgk
k2X80Cy1iiVKl3TZy1atUr37oIxAUJma9loU860a129DRDJf7nzY0dBSlRPZCOfV3RqZtQ+M0lpN
nkyrhRhNJh2ZO2w1bfDpPk2iUQhMZUvhkCBOHeMPAQY7L442aSe/tFYjN20Qf8nN7hlt3GcyJCLi
FdFc+GZ/TaFDUHeoOno91aw5jgh+tNpMVEfhJ82Rs6fEk8dKLBxKYHUZ3ZmVpZHChgW2/KH7WlAF
CFC2rRwL7qUy40lqDxRfztdCzMk0irKyE6azk45BZ1iZCBiutIzUp7tvRV7vVpp5JPwwP/ZWlgTP
FVmY3SVuih1xWQZG8jFZI0GVmzC0aPb16RWY8G3tsa9r4uEgZdZuKq0ato6mjhZK2xUWDjlvKT6X
eU76aqOIKovkc6wpZxl0HToOgIsHM+diJmUCe4GkPqCH+1R48jWIKsEgM2K0MpUfDKu6pRnkOmFU
vSDfZi61GsQEIxGOI3MVEjIwBxTaGeHrjea1R9DEn7qw/0B7vOwHlqy1gVrRLywGReZwCEakIURk
uHbxGsb5raJIWzTCoqVGGI10vr/TRXTl1e5Ji8aXJBAfkwG9sfatj7hLHxG9rbTpIMYhWkmrYpVX
3cbDbG3DazRP0pJjEthnPU70lTvkr70/QaU0q+WgoRYuw4m4GpFeKTueVmgT/LXOYFfwxFz1tjUh
9GvPkz4egaZ4Sz6FYmeTFrmoc73ZmuRuoO4oVrYbgrKsRu4lT7sn4WSy/CdR1UySZATsRCNJyond
nheviE/FFUosGzUVKqqVydSDwemQX9KhAN2Q96fCQcDjOCRV+IZ9CfvszPAXDVLhXVw0zBRbO79t
XpXbj2tK3bsx0co1KkmmLi4PECtqH7y2ZQrVZ0/IsQ+RFvMe2+m5ZSmE/EZJrgFEFQhTtWWVN++1
6z5wQG/0IjlBCSTlzTd3EEcfMF7Oo81hSTrqnO913TnFrWvlbyEPOryR+pXUm6O0uO+6THpbbzIq
XHbV3qd14NRlacfqAGBGHO9dayQX1gfCCJJvW1sorkNZX0hAvaYS2WSieSSTZwexkFTBVnABtnJY
x3rardG4lfD8PXurIRpf2hjxVyrutpmmGVslAsZSfKBLchguOgvUBYFahzaD81oq92DXw0OSIc4e
cx6CHFkMiScfcqJxTFBXLce5Dq64046M2RFeEYKn1QQvNJme7idBGd95RE6PZukxPzP3UobXULce
NYYYGy0jqJRDjgMO/O2UCm4Jy7kW5AmgaDfTlcqHz1nuP5lWiT7I/jxJk0ZP3xS1es5j/xlljVo1
Zrj30uJZzwnKkdVd74ijGWngcwFi6UlwFFX/6pPc0Nri3Y2JgmjDG2x3OKAb/S4j0QXJrrXhrA+W
f5fdX8vu2V32m7IbpfkhZzgU/snIYv7WP2rvOVYUx5xSYpZZzvjqP2pvAzGMQjtjI6qVmNv+GFmY
xJTyJgQmPEMXyGh+GFlgt3PwkHz9YX+19DZtivhfNmC64WL6oPpHqmPLuTT/AUhIDEA6DHKsLqPW
ISlciNaAwJERxL1X6JUvoVRn7MSAOiB24K2zgInELmWVfmt68jauqKV07oUB3gczjWMA/6Mz21NM
GarBBUnggzhwQiaBQb+DHDIW5klPOAhNmCJAfTaeb59qWCP5qN0gc3uwx+yJ2nfpwCRhfQd5HrX3
mO1jmCWBRoWpoJhQJD/CxYPDod8wzr1qyUJC03AFqwqwBhwU5UwosY0lZ+eDBYaZ2zBaJ1X/5kJQ
8VxW1pX5icipbQdhJfPUpoG40snyyoPA4uYD0h259AHftihZzLw8VxBbMPjsAgPJzTgutDi/REZ0
lUN4Ye6zKiG+UM+/uBBggqA9+/247GYyDIQYE1JMJQoEAR915Yp1OqNkiMI74EZ7pctehEo+kahF
SUq1ZNW3gT9ttShapbBpVFEx1hlrgNjhBQr+LgZ8bUCzsep0N431beo0b5kYUARmVwH0mw4KjsU6
H9nGDhMdhL6CKqm4Ymq1njx3b/ry1p5X+A5cnWYG7MgEh+CM3DHG8lh68auZy1sXJk8QQmYDxnNp
ofWQwrea/G5fTVjjoPlE7rA3oPvIdHxARrNWGfsSIjpBeoHuDmYkkJ2W53CGBKkZF5SwLltBL3+1
v6KESuqPGS7kD8WTEGSqkKX6Rm4ifJrqK43o2xzM+0opitws2Dd5VUUXOU14gyKpMnPbVeh6XYOc
r25WkM5S0rxsKSt5CsV5UxwIEeuW9Sw9NZIZcGJNRDKSccZABxM9uTcCq/oU3QpDbGMBdt1C0Rpl
NJbYjRySCJC7EhkI3WeWwEaFXa6bWRbbzgJZIrasVY1mNpRjuaLwIW3TVDEEYx6yeUEB2KO2dapG
X8eqJUkDJW7oUPdNzMtmia6riXsNzS5dKvmz8jLRP0o0vWUd96t5jiMR/IaTPDvoGrSe7ztXszCY
/xeJcIGF3UQ1HM7q4Tx97Gc5cTEDgLxZYoyTPiaeUr75fpMt9FmIXNRlu6qle8XYhlZtiL64GgrS
ThJD2c1S5lg47/ANP2WjeLDQOvP+A/bXeg09HiG0WbA8CmZxNOo30jxij7zKgkcyCmrG9pcORbWT
9o9yGD9aW0dR4hyI/QjJiWzXbLQfQ2LBCRYsr0i2Kam4mayJWbqdo+FGLUQ948ZzxvucUyGBAfdG
9sx6iE+5JB8wd4DoDD1q7cDPNlE87D0t2Uas1WFqdy+gwvGjNsMl1O23oGO7IjvUUwNprZOtEPPC
hLQxY/oOFEFRio1TIAwrTbH1cvHclMwiOaaWZW3tQ/Dki1aFz6MP88LV5OfQK3lWU6kgPn/TwKjX
Qo3LwdNXZeY94YSlJ3BrfkCL7D32lyjSwbA3VHNTVdwHPU96PRrH9aD4uw+e92zOPE2v8GyuL3ND
QiLParfnFg3jcZnn3JZoeZgjmgS+6gAjOg+dVIvOhTRxuO1puQ/DSfHeugOm/suQsnUcp5bWDtR2
oGPX7yh99UPTOxN7Y9eFBk5tjV33FAf6Xe83RysL7o2RnQhWt1VWRWxJJSGuatBOhNUabFHiB1SD
WPNTQlcTG+7+XRDE2abqaz+AIUr6eQeWg3axC/YS8RchgXKR6cgP9Yl9DYgg8D51yjKxFYBWRtKl
6GdtY0huwrwL/65FvrF8jN/WIqe8/sf/yfz35L2m7vhVsvtDLYKvDYgf7n4WJf/q73cR41gSowhL
lJkK8N08Iv+JbwTPCTBaxLSzLvf7HNAUQAEoRnQLjMwclfaXQH5If38qRWwDohDVkIn4hzWOPn/9
h1IkcmwUbJkbXUHOmCx74QVbWT79UKRdf7PP/SNr0+s8zJr6f/6L0eGfvIppUVMZlhQoiPh4fnyV
0kPpa00AAps8CpNVTmwY5zAzxaVnMvmKzLrCki2Mk+3D52mLIFomk3fsULTe6kVwk4TOlt4zPPW6
jhzX0Kyl4fDESYxQX+p+sO9Fum+74Bx27q5ojZM+9TfMd87llIOPMS9h5R/0KMZQ1fngafTSRXnE
Oei11rggJ+yLMRBNwDKfL9KtI5VrP0ILRR9LBgZauA24lT2+f7CxQ4wwQdWh16Z06/WDDbcQoUU0
m7aGdmJxFNOkLPEAPnqzsQvAqvlJpOS3a8iytqEeB2odtCU+vXws46c8N6C9O9j4dr47+8OMr16x
znSuFDUI6rnZRgbGEPhvYxam8ziJUpHzIZJtpVEdbo28h4y/LOj8wMS0VgpzljPb0i5OKbQzP79A
FpSzfSUuIJ937gj4VgrjAnsgQT429rudmcj40GK0d655vdr8ZI2+DSNtzFmIE8pxm8MvHK4DI0IF
zDj26FbKPhAp4b9gq5RPHc8HYk7J0ZNNhnLCAa9QQWCCMQtIsEMorPe1C18JepLKZLHWWoK8RTFA
b2qRVJS+P+47YXU4jVp73fCZQ8mZ6tca7fYw8ugcB0fAfGGSR7bDmvIfs3LS9bfkgxwinfEL2XTu
LfABY4E2khTSkb46L1KgELFcdbmxssvwyUkZEfOn61aKMQMeCFzOPFaYSlCdHNTUBmsbFeq2aRJj
mbmevKqDTnCslvVWmd2ulxmEmEHUN7gvDJZM6TnMknNX1dkGideNzK29Qye68lSy446JV76pX9du
f9dALXog38D5IFQFuXm8Uv2gPvKwXVlpvYq90rjXtXaD6GUDCTMG9oRWyUEEOiCGrVXxpa6b9yys
3kcAe3iiV2AtD+6QbjhACE+ZtnLQz6PTrRBZ7AxLnKbZblp1b7rVogrXNklvsIIiuLsdP5P5xOrq
M8xeY9WrxGSRhw0stroXS4VvyaTkWtVxfUAQ7C+0fjqJVFDGirMq2hUgn5eCP1/dUKBkjr32OrXx
hbNr9Qm5Sg2B1xMMwcqFSRT6wqgzfR9ZJFUZI/pS277md7y12hb2Ll0/8m+PSOMOdi1yFUJcPXHT
JJhM+rI5+mLgYiafPCkZUDFt4CpLmfxwE+m5vRAuQ1lC1B1aHEbpT9rEpBS1Qiv8Gyy4J+ggy064
p7TtbgIX8TktgfCQJfn+wKQS8FMU9HiyqhwWVKVfxVr8KY+NT5AaD2EdH/PEOUStcTP1xioh/zlP
kjMiGoDY5XicbJt1LHtCB0lVGds7nKkrt+L5G6CpGaf+gJd13JdTlh0aJ0f44mECDTKI4n6SrZiM
xtvSZfpcE9MxjVq5+f3Ja8wRnb+e74Jm1iGvSeerzi/nezAaiMBUgmKxBBrWJe5IgMYYo+brklOT
mv3K7ggnz4OUxen0bhRlfVOWsX7vTA7otGG4hWZ90gfiD137SR+abRmojyyOfAR0pMX4EVwnBPub
fOKaTkCk555VL3t20pgLYbjYTrMjQfgNK2+7DKP6UaCdWncGkRkwnPJFki37clnT1RTsGhov2xpR
tRWyu05Evq1T+8uYpHetHR1apJhTnRzKltCwIj85tXC3TT8SGDuGOzEE1rKmulEeybOBjLY+8tNV
rde3cmyZzwbqoAcu97Xp6wQZGcz9q+EhCqmdXIWjQIziIpk7Lks115hhfO6K6Sqoo33cW1urp8wP
E8hPGZ1468CVTiG8AftYW35xQjBINmQmLmHSA1JNdzzXyDMq2IPkY43qqLrEUXIrwT0vOiyTK5Vp
4dIs2PdW1XWIM22VTmwVaLUe5ChLJuThq6vbxxAPHKp9ZvN4KiA5zkHuW6NIIdcYL1E6rlJTLYH+
7litndmPfcld+6SXekdRr33xDDUtCpB8qgUVEyepsdeK+SxrTqGtnoWebHSdkpGo6ZcxFcYyqscY
ko9/MSfLWBE7GC5kETk7suDbx5wV2BEMQ4Uat0/3v79Uf/WwUogoAmccWziEAMh5ZPNjiYDOvYfc
k5KpDgLdjA6VaBe/f4WfeRv8SNNGKYKtxlKoThjz/fwKOOyxLLq+f5UoWJvqgrRrFxa3VQ+ls0qW
oSo3brT+/WuiQfnpBvzXV51/7x8KrLZgQyBNTTvrY3ZnodtGCZbd8VR8RuAxQuyFiNM41pPyTPBl
WbxEtEWjnPVzIH2YL7Nqes41+xQ2Ul+SF7VJ3N54cwJps6SJHhSd38qPx6OdyBfFEOBgJKZquZqy
nA2gna2dQitXRkGajZ2N474dbPMtz6Jmgy/KhAEefk64VtelroIVJ/DIUkHpS6Yrd61MJrwjKPz8
TuxT37wOxuYLPoMdD6X7uqo2qu5rRsnRztQDDe8SFUrSZ9mWlkhfluxGV1VvoaIIh1sRZKtZmE1v
5UM1dMkvqruPsmZbURfhvpLaDqfR/TBFT1KPDxZjByQzFGuhZ0IZakIWAq21j6foiNlolY2eWNHN
EZTkxZyy+lM3ayzDKD07wbDNKpa13sQVzBSg8dNlQPucR6mzKKbIWVWJdy5KZzlPdoyc5FvHH+4C
BmGLodCwh8ZYLUxarMlutloRApNs81flM5DS05uyIEyzGRo2JofOIpK7s0zWDw4nIl7UbMQS67Hh
AGxwVYClZBpg7ZF2vIOwgw4H+Le05NYv5MmG1vcfLrf/dI3/stTvGYZ2oGq1c3TKrv0rbcNo6bHf
Tntrp04Oj57lZ9Ev8L2cs0/9t+jZz8N/++9ICZPRz7Ofy/w/vdRBxjApFbbhzm/uh0vdKAIniwmL
PDOpWGQnsSw2zDmMo/Zkb/S1/nDRlqenbk04QvfKP5Kr8aQvDuHGu4Kznf6Hd/Pzg+/bfWfig8Bh
D6eU59/Pb2ZkeQUWKAquAv2aAFRWzE9V90398m9/45/PrH99jdnp8MMvPFVpqwVBEvBwffernTve
/P7P+ae/g414xJ6ldKjcfv75BBRM+LpKHt7adelyP1jUnN9OqL+5fLM39ferhFMb1v+4vCE//jP+
A9/+fZ2Ao0YCVyAZhg3jN9jeD+sEWNw6iwMadfOrXud7Cw+Hz+V7/ujguXq+O2ro7lk+0HkDpfoW
kf4XFJA/X4UWiyvXcPiHRL1iUNX/chVWWIFqU9k+GXt0CeIYIqn74aP5kzv7V88OV7rrAACEjEMV
Sdr7rxFKqZHrbpGMw5Uf23tSwt3NIERUbex0OA8mEkkseWO9ZfwUrZVWVOyueajdCVTH+coBYX22
K9ut4cR45Zk8EQdudWuq8qyUpg9rWbejv9JpYKd13evrvOj1AsZBmpLCgfpnAJmzRbEn8OeSXcZ4
rFzXeR9tTUUJlXXqOrIzf0vNjj2GSJJtqPlI0UlPizTsQ/2U3/EcDT7SCHmPaYQegFuHOJG1m4xS
gKRL+Le1AenbWAcy1c27JitwUBTlUN40A+8iLKfNhNVzoQ3Bs1kYx2AICElhxbuI3XhvduW2s9Wp
b5WxsBvtqg26Rys270u3vqvi6eRn3aOy0mzhKDyBcShPJWGVCBFPQUDH7/vxHngo+cuDOqJ0x+vI
swozJexZuh6dke+Uj4fK0l+KKBqXkNaB5BOEXIUq2jGmx+CgvwWKQiAoTHspcT3TjBvvQZLTbGB+
GnOqnsYNEV9IYuiaYbC2melNx3Isjp2nbQdE741G8g2ZDdUqNHHvTgWRQ+E5JcN87ZlzVYqgaZqq
PW6L28AqGQNnFuIkLWY/QYCQXxv7rB6qdRWkd3nVHAOY/uiedPV57GLG2ZVPqqVQmwHnwmIwwrWE
ZcHeIFulnbcfivJMd83WIGKmHBPvjk4OGYQfWXeWHImGGHAo1BnY0sxzxSr1JNzYsTmXqpsDVKp9
B2Fkmyf6u1TtFyO10NEmKj2aLpB0tt1WeFNkDrzHQYZMkJD0sETUDm4cGdva0T/HWrCfFBARw35o
Am2bBPhjYOmzXHGWrWmcIAPfdBkYVpgUUeWtaduWqepjIvbE1ukbsSpNPngrI7RI756MGWNbWD5K
BPcTZKgz8gTETtVwsBL9euKHdkZ2TtGeTRJxSqG9itp4RzSzh/pxMj0kaPYjsdO5Mx3slBwfC7lb
ZVsP5WSQMkciAMsIYinZ9afxyRLjte+RD8tIjfSK2H0Bp4uZHDFQ1RsnV2YoGuSlxB2cEgIYTBhh
ranc2IF27wz1g8QVMvjxsLIC/1p2yHSoBueJWXhs8njPEDFZTJ3xWGjBveOkD4iuF1PWb+ZVl7CH
Q+lqhwEfNZMNdSgjd5uQ9MfSv16ZudHuZSubW9lHB36/oxXpnxjWo/EzkxBzSUVMpFngsZZDvBu0
VLyAy7SfayeH+z+Mo/eQNl58O4D4ZOuZGGtZMbzSwoa0Gi1m4zLb64NmxDYkUHf33BanroBC2cpZ
BZdUHQMG1EDzHYaXIUf4NG90Ss95m7CpEVChHjWmQOuuVmwjC4jdCVa5Rro1FzNm6G4k7RG+pA+2
xLptdLSRZkkd6nd4O6gzjl0OxaWI+wXmbGIUihoqsiuflbqL+MuvylYjnGIOy3VYTJ49dMzrYaK3
w8bxJn0U66ocA245l7+RdU8Ee8znOMYIH/0TienTYoy9m7jJ33AyLSMP5UpEX0dGyR0c5RfTLD7V
bQz4K9p1UfNhV/2FiWtELBM2DLDQL/AONoGyP7HxpX2tBf3jHD/WM81r6sxZRPZ4qj2L2MlwGSWE
oJfiCyF9w7ZA1xVl3UtneltLNrhmiEcjdWRTVPyZ4x6Mn/1kZPUjkiwkeDmaoSG6G5LxlLn9rimR
emt99OSjKAp7btFhOHdeumVAxH4sUbdNM10gw7zQv1/lkVw6siMIrYL2nh9Ce+o2naRpHnQCgaW7
zlT8Cb1cDTJIbWVEjOpAxipG+XDv14hJAzPD+W+pOxxofIKJAUAgs+9RzBwaEzMZzNIXngQsXHNs
Q0Ds2ec0uzzy0dmVaB31amfRFnHcrFjSnc2M3z4N7BPGvR3tyIH8rRe36FbelC8L4hMYuezggQJb
9aAmCdKaHW1l9eGuTUh/K1vvVW/iA5/1Kpww97vCPch2vKnJV15GsmZuqe0qS33ydDizLOhxUN55
9HZUtBP8Q/gBKVlSuhw+PL23GClln3RS2RYCYa5rJdvSK+/TrJnAAOS7zu/KneOm48kwsIYKcSKq
9pMCRaFX7PWIdmsQ+ukG/m3ZXxOdyeCqwhgRO9UzuaGMM3Tnos+pn31WlsfasH1SaJgvWkp9DhPE
u6Xua899obhegO+s8VV6C1OGyRdiqeyVMNMAgSBzd8yg3sfvi5B/KYbdObpIKKoQ/O7QSn4uho3Y
MtIUIddVRNcbP8bum7S2/38v8UuvPnIVqxgsz5VejoD7Lm1xIRr496/xs1tlrqS+JjDNEQoG9hHz
l19DiBZJrhv6F73nKW9fpuY0DPeatvr9y/xLI8jLsFfCsGOCJ2Pu//On5efRaNpx519auLgljW1N
OqFWPrTyuu+MharZW1qHr6/5dyshuBD+fStxzv+Mejl/zx/9g/1PB12RYGMnYXzMQMzv/QOthSLD
S5fs8ZT+1dz0vX+AH0fLB7WHFeH/Lg6/9w8z/ZvOlrsBlRLf9pdWgPCBuBh+pF4yFnakYv+II8AG
JPLLNVlPPOhbq1VXvplNJzTBegHjwQlKSaQE3OJpMXktY0MNomNCOe/Z+XnUkXSv2zBihtVYenJ2
2lAnn0f4vIa/rLERybWntRJqGVIIkaFT7S2YZz3pPP5T3+IkXk26T3Q82EvNLfY1Ct2CBE1LDTdt
ZOOuDDS0fDay92VLmqXQW0amWKebzHY4cBEdlR2DTpy/aLN9rd54rX4fZeJcZYrdWsoKZtRvs3F2
BlPyLXJ0/UWeHrPSOxn98Ij6ndmqTeFaFCnl1z5JfVIwfSqf/8veeTTHjbTZ+r/MHh1wCRNxZxaF
8jRVNBLNBkFRFLxP2F9/H1DdaqrEj7o9M4u7+JaKbjIJIIHMfN9znsOuOvISm81pOtg9OngYAq0/
UbwdprvMdo+aSgRCCjVFaRuizIGULDjHk0iZOXtEH1/1QQ7LqO3u5SBwTQbpWRapLCXFeCThcsQ8
0FG3bcGg+TTzPcOehiUK4BQiTw7IWkBHh5a6onGDHLzVYB443VdUymeYXzFXsvsBwal9HeB70fBr
1rQ0CbYgUTzTUvIZ9NKLQOrQ3cxgnPXn7A1ar4s6lA6FccORal3Zrb72E1IKFAgMPoTynRkC9hvM
4jLWi2sMVEQZkBhJdSwkenjRORXbZWDWbfoFGTWUmLBDIomOIU1g/5qK15XB3vQ5LJUOZlB/YpWS
Q7zA85CsndEGA2DIi4wsmHWSzk0FmmwcfO6QhBJPSA7KxkA4vlSs4DjY1NdNV3paJfcdYWqLSq3v
ggJMypSIs3HUbmQwrMCHdzTHNIIz4mtOWOfkMy4TO2oXljUhiRIsqKWp+Kzcfuipg3tURWGz7TNe
ilRrtloJq1jkBSqtXG5CjkW5kXyy2QsSLrlAS3RQwrIE84ZDy0xdzoxpDP4A0Y+N24X2casaD2qJ
Rs6OBdi59GZIBGfcefXwQ1grDj2JsYmx8at6eEbDBLSSO+HQ6/u73NbnNVreDX7/WTObW7PhQIIj
cIMP4RA3AoGHszCFxK/MVgn0Qo8ACslwlRCr4WAHNmR748fYEAowp/SSA7ZAZrCtZHXdWtND4gSP
0NKJFomQoBAUUoE9MjXPVNtPXaRaBG7RBS6skB15sVdt9ymfHM60QaV7eqHdUEdfR7V5WzbqRjGK
Y0/uFNFUxg3LjbN0QhXpOTnUQWheRHaJLDZBchSld2Cq8g2spyfiU4ctVKht29UmtUfH9XKFuE0D
MOBayvwBnwMCnrkznQ6Tc+ZidwAXiNlHneoZs7/Oeqzavp6aK6os1sJS+nXajAdNM19qUqQXRU1O
l22T9emH+zoz0pWlDS9J5F7HJsIiy2B7oqXklTbT+K3vMtyOHX03Qj5MT3dsB46OpLFoU2z3kdlQ
P2fqoJXAQaKAriij0avGQnjIqbZJMDxZocxX0spzFEXuRSuqC1IDXxI5GMtiwB9Zz85/AQKAut23
GiRAUETbcSoe8ldWANAAe6YHlGAE1Jkn4MCrXeqtdW0OurkLsFcu4PHTL9XjC46ne9jymxFAAdqN
K86bZ1ka70JZ3fghkv+ZaACP45zo3gM1l9tyZh4Y41ihsYeD4PJd5NsIGwHPIwJ2aAkx2IR85ifY
M0khbfyFmNkKPc1YL+r6z+7MXWgLHJrdzGKAMPUwzHQGvBIEC8BrwK9YeO6g05YG5qD3L/3MdoDO
Fq3y0SRnOHsYMPVsNLe9STkO0xYuPr+SiYxG+ayb4iUEdMlRBvkTSXs7tSmeXd18nGr1W6cxGcrc
ui1rHhiVbGMpUtnwiciJTMrsYwelBT6Rhtsf71SadpdCSVBtsuNsw8MECWotzLmo3yn6YoJcYqP2
XYaOuiPpIYKp4Qw7s6coVfr3oU0nsE6jl4xMt4VvEsdKulS+bZLuEycI3Ev2QFjq9yyJf++SXrXb
OtuGj3ZJX4vnX5VS8w/92Ca5f1Bn1KmImmBHiQn/e5s0R57C2MVIRyEcdBA7qD+3STgmXWqpro1p
Uswtvh9V1lcvJXx/cIguxhAVWOI/qbLOZdSfNkkmmDVyWjRCL1CJv2qc3hT7q6IyJW9YeKwApWKG
fLVzC/ugYfOrZyjK7PUGeD8bv9sSOy6Sm9kRPtIqqtfU8zR507+6xlEYbvFGG/4TBctYXfV9niqE
EZrQ+rUwHrVVQAuHGkySR3BxKzMkO0sjv4puyiSmNPLSxvVnd3JuG1CMRov3F3y064z4NFt7op8Z
UeaxAYigzYyFwoca8c62CmoWsXxWA1pVn9aHAMYJHmMDs8UqcOCcLBLHgmIjW+VFRK78fr769wFh
rrl/MPVfcub+u2z8+Qf/mv6wPR3wmI7Dhh+rwWw/+OuUoJsz0gvxs9BIi0D29/f0V4n30zlNut/f
i7nr8dcpgQME3S9VpWCv/zOzsMVveTP56Z6ps0mYcwjWCdd2T3vnNuU1B1yBctCUlKkWQWgypxe/
R/KViNRiCqlr5D3repz9MGpU1tduneHYsjvFQPRc5DZwaZeatgvfbtk2Wn0H6scen4XiSNwFVE/0
GZQXVzM8T8dIEDTUIZBNmxv8EvVimCF7VBkGTLiKu64h8FGiV5+DCihfpQ/luphBfcixQTzP8D6C
7oeVMQP9QNDXj+Ur5G/G/U1hJ/Z9bu/juDYWPXAFEWZ0oaEEtnr7JRswOXUzQDCdUYK4DdF4jRd0
R10wJ2IVumZ36cwAwqymHMunx9gAegaCPYMKazLWODoFLMRusnIgPyz0GWw4obRhN9wc4yYnLXSU
6QMJe+ONprFfwgoLofsyqoIQtbN7FU9ox0GpcsiKCZ3roSCDLmsiJP0OTW5TpnLhdEAY7RnHKO0+
2ueviMYZ1sgWRF01rwRHTgn9wpmxjlQp53IuqEeI3yS8omqOZWF4MjLJ2gMMmXTFcDU5wCJJyk2u
BviRxQySdGekJFVGfiiZpmhNoQK0qWfkKYBWSp3beiZSouAGTomnxVnCmwJZGYfEfqD0L/0bwbCb
Lo5LdcXEznd53XWbrAEm6VuKcwEEH2kK8OOLxOKH8wuNotkV2H48hVT3wtx6CmrkLn1DQ0cz3YeE
UIKVL8tvqptlHkbx83TeazvxeEgRFJHnmn0LEa+jM5AHKt2E2RE44Zm1kxCeywkHz82u7ip7r4tS
87qY9ISYg4WeZRuTjtPGrYElDaJl8z32Ogrutuz5A6Te0oWpu143LzpRKnsKLCBEoVIchWiAENUI
EFTK08Lw9IYUpJKi9HldubSkmGiAoXtrXVeiOrPMolgqRQGiDPUDSql2Q8rWY9qhJFUHzSOEr9n3
OG8XaRdobGp85xI47lrJ3K+60pxbcXZVtLgJAXw3pY1QRlfKy1GJxp1u0XrDfb1VBOWlTIr0Vo19
f+U4L5Kye5SiKDLt8zEEMY3XflMNI/zzac01E5Wcn4sse5w65Uxo0XkWgvGJWuFf5A67wQweOi5d
4urHIdhVYbpDu75NKh4SOdH7so9Q1cS2vwDv9RS0PW+gFR2GruhAeNK8VmSXeY5beZqV7lwpVk4N
nJ+UxR65HVbvb5bNJk1m63qy19gNPbVrCjSF6nVJ7G5Yxjub5C+3H7xewwhO0YGs7CH95KTqQTfb
TwRvsP4lbmEBFiQz13emb2WlXePK2dmkQhs0E6lnG2Rs0X9QEg/n1FNoGRvMKitCK0ui85xjk+TX
TqF/dTk9LbLUeJHueG3iSV2CQL8Y6QIqCanRPGMUUfBokZEh/fK6SSVqw8+eAXLc9vN81JJ4V7fh
ES7/IcO8C5h35w/F1s4Kjw9p4qVCvcry4XKsRk9HJJj77VLh/EUa0GZqk62NCicr463VDGtFzOI6
PXq2iN5IcRApIGKT0Ca+ojjkpYpnRi02hK4hZWqDoy4hlnbBduCclhXKeUcC85hGGOsg0CcDZ5rs
G5VDz+c8SsHK82XKeeql8NvrQWK4cdQtPbsFFtd7AdetmUgCMxlD1jQW9QPyqptGWmsTa4cIBg4v
7py4qC/dFGJp0aubzKw913eZgb4CDEVdU5T+NiJk4Au3BnuIJ9RZWg6eeKwuO0ODZzPV96om95Nw
biyrvHdC0ju78arNvuZj+VKpKjLhgd6qQaSAVa4bf1wmgbkK1dELjPAK9sNF0RnXug/OUaEMVdM1
xeRVqupWcbut0+CjDdObWBTnkjzSmr/U9vGOWKKkTEWImNqueRUvG9dZa0azN3y6rEO1ohEzkP7a
LDljYtoy9ee+Le75VXAeiSAaG5MCAf1KTC69R9zdU5M3Xu4oZ6ksdpNicy63w0VXJ+tQYZGgtVR5
sB0pJ1k2rIbuLmvzRwnneSR+FEQnhBt4y4Wst7nDAWnIaLIJLPZxd9/X6l1Rx9e438CWDevIb7l3
lNdyubWlYHbaGwRJV3mRnpUIGcl8uUkje+sM/gG/1S43s33nawAJECHlbbTO0vFY+jMBrF+UvcMR
0z03tOGhpA411qiV2Kt/8mvCMuvmkDfiGmqxunC05qYVYtmVnC1rzC+5SM9TERCCVqnE1wcX9fyh
mor7MZFneg2tvwx5s3tg973X9POmJ4dLln+qy3Gv6cWZopvhQfFV/wvEpvSmgWDjTbrc18i7Jsoe
HVRvRYm/ctb7FMsMdBhqTKzp8oGy6kKfHVcF9OpI+2plUDVkdZ/U4Y7+xoHvLaSgOtlofXOGpZ/3
MrUTb1K1h1A05do1ktuslqQBDskmMbRjnGBZTOCY5KQMr6kRbP3E8npdyVYRLZ8Oo4Id9IGnjfoy
SRF/hvlxCKxN7A/7gbpfqSBsb+InSQGvZP3jDWiAOnb2qm3p3YZK7sFSpLlNhE7KIjG4+bZTnK8d
UBJ6U5ugs9fQMFZ5UfL9acDaBcO0HrL8bJTBWS3FLbDQ2dtfejmbexkBRAl7ZZ/rJnMdUBvt51or
QFjIi0npH5q6fEatik63calx0Hsz4UFkKsvfmy3tOxqRk/bM6w7R0HTcrERVuu6p3kr2dY1+IVcO
aga5kppUcq3Qevx4kLlr8fcZ7Ps2FHWZpqkEzlJSn5srb85gQFdVC+6tchicLzX0x/ZhKGAWox74
neTlvQ3v25FO+ieFX4za5DOS7lyGJiY+m/zmaVdYn+P2MSos7+MLe/fu8TZhj0GVBvD05wvTgVk6
floEx055lO1ZFTznKafpH2eOdx7Qe1fEbpnN8py9hfv45yF8KhqqO5bhsTNBtm9abHFpiIo52ETk
Qury8uPh3rkioDAcWpAeQY07bdfNAFR9VGV0jHJkmQanzFmf85tr4th/Oh9+GmT+72/mQ+MrUlg+
g8R1vZD1OUFPy//ZZcyX+WYEQqoldldGAPhqIcNOilsfeOzHg5w06+Z356fLOHk0ZTImZZc10XFQ
jAUlYzc6wsfhA/cg0LM3Bx1qxMcjvvd0AA/T6xEWddxTZWESwaLJYy062tUVPV2vTHf2P2zYvl4V
AEDLpEml60jUfr51vjAAmXR1fCRne5VZKMQKD4zRxxfy3q0zkEgKkyBTW3dPBin60LajiC5tXT7k
1nnISRFb5ML1b+L2zASg1vtXH484z6mTbxCfuL9HPHlYCLYxeGgjgOUB6W9zR17Ubz4G2s9Ph2Yg
rj4bbKKOOxDF3akWvinoxISDlh3j83ondyyeF6QqrMRVeC28fBWtHU9Zf3xVPw/5+mX96apOvneg
s7MB4Fx87CwU3QGkfly3erH9eJT37x1tfJWVU1ji5GlZk2bZEtn60a9cT4el68jf3Lv57p8+HcDn
zDYa7bZ9OrFLEjPBiyvxEQXMYnR0dpuPEcAuFDa/uZb37tjbkYyfpzcn4qIGrhYfNarazpXwb6rp
N5+394cgnlRzcYjCzPx5iEhLOsecguSY5wdB8W9AvUe34DeL6nuvEJPtxygnjz6pO4RTCBCPUfKc
KjhXlFVNKZ2GYSKPSrJJxW+e0S+XBaiTuDLzVf2qAS36+bLI1rXLzC7So+w2Vf3YW6tquv6HE+1k
CGppbz/beRdwQ0PgdhT1F5oSLMdY/Oa2/TKXX4eYYfkqGx7qbD8PEQ8DokJOWscmfVamndVHvxng
l6nMAIR4C94TCm+0+38egE+njRN/yo7s87IW4n28i1Br5e7L6736d1V2/rz82CEtn+TTnz7tSzL/
/vM/HmAs/dqPmH/mR0EWVAy6bqAvCKyR0/CG/yjI6n+YtAH4VHMMZ3+j/yjIQpFx9fmBIf02NBZ2
Xqe/C7IsUqqFlNpFuyFIR/oHDQmiUZkAf3/rEH6zl7NMAyQkKx84Sf6It5Nc4lzKcUgPh1JyzAZP
RShefSt1Mj3iOYBs0vLiNuq09KDLLLtp5qAyRdXabcvOloYCZwuw3qgoTOPSsE11JdMMYpgdvxhI
Fj3JBuIsJBHNbXtCzOaQtGSOS8NCRZhBRkCgC6eetnWHLQZOhyRnrSO/8pAFFetuTwibFtAKbunn
rAIOnssGf0yGbmybpkD9YlKAQJHsDHLdgoqAt2GOerPm0Ld0jn8zyYFTVKvfuiTD5XNEXDWHxYU6
sXFyDpCjlzyACElx3WmOvx5U6W5BqYlD0OtUnzI32/alDY03MHCF53P2WmDfFwR5zqY24Extdt5W
4yZxlYdeaLiGi5Y0UxF7Iiz3amuuEjugahl0+6RWUHg6n7mbFwU6EgypBXVeq80WeRI+is58oiM8
UPwo7ggtupvBVZzkA3qLQXQjTc6ARqpYCyPXyFUMyO+bkOopVvZiBNRPh9zaWzVmOyKbIJER37CW
igjWod8jbxcTnfIUlbpV3hSKf2mm4xdnwrGNRpUrMb76Y3MEWdidQw6m5yvBAVe9cwl8i9KsP12K
gkcqy2FZjf0xyYwvulHfTX3yrPhlvSjCcJ+kw8GiboVlkYqWNtcxlV7fCfaPuLMHELiBe0CNLT09
MylJWefFkDmrwjboIWvhQxlMV6Zpwoik2KEMEzujV5+kXwye5VSJczCoZRtfEH+LcWdLEiywi58p
r+FcNaC8JaLzZhHa4kUh2gYQhslne1y/puL6biwu1C7dd3Pylz1ngGEAP6cXiFFu5uT5qobPWYAw
HwVF9wp4UaNM+nUtBKU5p86JO0qeK700SSyKRtgtI3qJ2MX8iLPeSiZuctT4O2VsKjxhlCN7XnBP
ZaYaQXmd5jl2rsjcDQ4Fo9lkcJuHPmwg08Q9Rl5CLeKesCMrW+p+T1qgSvV+9F/GUd9GxGnuEiFu
a+mTe5sTuZ0YHjCGS6ru6Q6trwWCh9a6nVo7yn/mwZYo3Qenlvj5I6TytXnTJZiTfSnOUWCUFLFH
1yMtaF+nbbTXRoLGzJRsjCLiKUnXS437RvMPSh8Aaadzb/bRRlY1lQI3qzcYPGlW4sJ2qvRLmIq1
U5S86rwmZWnjiKYAXIbNHtVTuUsUdC5ppGkHLNLG0sftdI2MJNjnJhVNTqyXXYVOInatlT66AE9w
ti6MDpeDDyh11CgrjVWZ7KtxchatrvtbtZJoOdjgbsbAd5eqUjW7ssrPglClmBm0xh6i6IR6XFM2
ZlHhBKnKK0uBNz8l415Rg/tSyYyjHhMiydcPnmhkul6YlHuF2lIwBP7KisuHimrrtybP5syR1ryy
4/hloqkCG9I1ZP19nf73+mmw4Pzr9XOO/V7XT/lz1Dy/s5DOP/xjIdVBF+MbMlmyoENq7EB/LKTG
HxoNyj/58a/Gor/0jzYLKZ19mvc/fuqvhRSkCl19MVva/7n+8eeN3OsyCp3FYps1/1JTnZfZN0d8
rBiqE/v1hBT3rnL8xRzS+ebGHL8vyW+dkT8v1PPhyuR3sH+ndaszxPwXvBmBfE2rHEpDOzQcGcEQ
CzwPjaDm95sjyc9X8us488b7zTjUhUvec6EdxCwYqM97++vHF0Lb+O2W49cRTs4KgVbl+hxNeNAH
G4LVJ9v9Rr4JPKSD23Yr1Kxe0z2U7DCio0RXqUUvJJIHdCSKK5nfBD1mA/pfIlg5FNMDE53nTZ+F
VEH/BJP/S2umNm9+/t4c/fqXnuyejUjxqUnO9wLvEpT2qrxroQOA3z/09PF8Hyrz+M1GKgR7DVfW
n1ikf/kHvEZdnv4BlPKEpfL4wbydnA/wA2uyU+3xgCeOfrnm1lA8kWtLwhDNis94TMDvLnbQiwI/
Fm1/raU0zXqwlF6nKpNXC6CAetmqHclE6r4nbLbepNm9nhn73lcJdNaVWPs0GBk+uMRFLOjTSs/j
eFVb9a5sSYXtqjW9smUnRxDYh86KVrDvF0WFBcRC/4QgMtOPmOFQzt43fko35rYJnAtiuGhkW8sO
So9O/oYhYFJPKQHyJYCQW4SR1dKirT9VgLFGzWu1FrFVturL7VjdNzBpRwpZVZ+fadK8iuOLeMg2
XQ6WOxMoMo3JINzuVprWEgcH9ZohWIgoMJfk7RFF5GQk5yTpgyRqKMsmGDXCB0wSmOcfT+ZfCeh8
d968+ObJ69JHbhPTkp8O6sbY+rvpXN4ZG2dXHyChn8tt5dUr9IjeuDa8fb3P1sVyeFB2UAw36gZA
4zq++PgPml+e0xnz9jNxUlEwgQ7Z2TxlcVvhTsn7JVsitG/qbz5H89T/aJyTD54TZVMahoyjkLp2
O3yt5javRxSn5f/mpK/Nk/x0qLcvwck53OV/rg1Mh4fQ8OIj3rJ28GriCZsV+ZvBgd3tx7fwvS8g
onk4Sg5SMjwW/D1vvoCZlQ22Dc/g0GMwz6cvnXL8eID3PoBvBzi5dySa2xQXdP0AsaOF7N4rXjP8
rs3xu0FOvrLu4FrkfjGI251N1V5at7r1+PF1vLckvb2Ok8/jyFpdI6vQD9QfvCHticK4hgI20xRf
B/rf3h1dRM910RTf5P+Zf/NzUY41aEL5Xz//s/n+b3gE83H+p3/QfY4k/eCXerx+adqUH/3+rZ7/
z//X//hngeCWjvJ//sfTV2rgy6iRdfQsWV5OIW/z4vivt0e4QuQLJKb3f+7HzohQB/YwsGgJZkHh
x3z+sTNC2GjP1SXLAhT7SqP9a2dkQbclNonyJjVb/oq/tkXiDwAqLrVpjD/sZv6Z6Mue6xtvXl42
Ri7lCgSPjmFQq0NJefIylalJF8yxLjMDG16p+uayUO0H2yFzwW7vCJL6lExX/gyar7SVXjnEAASf
/HRKPLQxBgzuBE7jeGGdx4HybPTJp0yhZa4ZdbwZ6/yLJdFqjX2wK7N4qwY5wui2QEZWkzcMHNHT
Ve1RIRXhiyYxBXPa7VfIun3SCmNCyWprC1R8n/c0sWIjvMvo7HMyepjo/qelU0OhrZ7GOLlyQ+Op
trT7oQP4jwLkghSpwhvDpFiWVXzWYj1fiKzo7kbVeYxwrJ/l5BqvtJ7gYbWMPyVt+qiO9rQzMyQc
RMmgwpq2U6U/dk126eakG1v2jVtvOEeuKrysC46Dn9owenAiZdurxV1TK8He1sul25helneXWgww
KR0vhzG6NFtwmGM9Z1SGX4tSHnDLEGBn9Zdu1BuLItJ3ZrFGF7cguh6e2s2MIUEhI5OHSscnzZ+4
mWMZFlLrlqmJrkEKgNNJrNO7N/1FIZpm21lu7vm9QZ9aObeyot8W0u6gkbSrvohR2FjnxLVN5BSE
+DjSlDpK+rWms7yUelMuwlrd1NYUeqJrj6PjbtUYfYgKinUT5mhkImRkac54KdIOQQKIa9dfgFFG
8JdoyjjTsqAnDoWTEISWSElJiad0L7PSXFoxeTnk7Z33QQgyyl6CdycR1ERxk6qC9LEQQXuAiobY
BYxraYINPbWbxosimXkYD5hskYs8KyM9TtpPKLPAnEdy3TYIXFTMv+gKr3rbajxbo5tWGeQyx5Vn
VvF1ruERCnlySml8EkTnVFlar9jHO+eVou1Sp7go4+Gxy4bPYdN8KSsHCHA/+svJsrAHxG2MpR0j
RhJLzJuyWHaUfkiJmJPlSOONwuzKb0zDS7phi/y3WGO2JNBitPpFwq5Kj2LQ5c43nsdZUZYHExd0
YqkboaVIf9AQAe1BsJMaWIjzR1iHZ1LrL4pJJ/1H5nu/kecqkel6BsktxT/qdM6XuAl2bhiQ9KkT
9uA0t30T3ZSt8ome9U7Ni30LiaawrF1CWrOi5o95k2KnpGCHX/XcNOozoy0u2i6RFDqgB2fdZvDJ
/yATIp/6bekWcAroDowmauJwH5jonurROCvhXvWNelRDM123U43HQt73Nh6NxpywkchD2ZLnME72
HhjztYjKsyTqtmaCZRvAFxvhDvyWWl8EpY2iqUPtONoL9JM3TdHcYQE484f4og3NZRiM17magoLj
pU/SEMxxdAeWYiOCgjiWyNmR+7ixun5ONpY4eAHV4q+7MhFgobu9ypQOUoFawYLGjeyq98BtU89R
03Tp6u11Hwpcs9AGYbvB5J6ye5TVW7vFm0BJVae05bWoFDFxP06Ou+mVfiVdbClR95DX0AmE+m1q
gpbkVbxWjX8fqfT5FvZElsS1zgrmpQ6wAKougm/fYBh7wkWhEFrpmRu05yYsiUG2cqEQuBKG4cHs
0jM/GLGVF8FFT7zGKnLzL10kgfnU6aWiupuqcC9riGye0w/rrFK1FUfAzxF78gEso5Eol5of30zz
IzQc8aUka7toAg5r/ZkWKHeD2h0M+NoquzMM4gSMjv2TrmD7isoAhVuF40jyLGpNrPM2iDaVQ4nI
MC5GF7ufjOptUsSbJC97qMzaZ+rl+6rpFmAtlqJRrroIKrJu3toBMOJo+oK3/GaC93yei6rcqYF/
XWb5hZKr/sKv0pU5iUettDa27i9MoxfbWAIi7AGBb2fAta4HLwmOGKTvhXo24lnXNCxCmlaKNUEy
G7sSpHCnYenplNAWVqBum4yzTR/dVFgbxza49etmmytY+Ya5rExtjGu+Ja3+TlZhtxvMYzLzBNTO
02OLvJlswPVeHHoZ3EbqBKHa6rYKXCw5cVJorKsp1bZ14HJr2E9XdQ6XYbzqWv0mSQuHiASidJy6
ByCg9VelYV00Kev9Km0UPV21fRV9Flkk+fhb9pmeczDNnLRbhxVVwQoFbeR0vJ14MpFKL6yaSxrH
cotBZmMHuXuEZemg8uzy1aREIOw6rPBB1wGXbrMvHckT8LrjNSsMQlq6FctSTwnYCDxRyK0fEqM5
zAkxRed2+zgdOCQr47e8hunNW7xIRmhkRlzjFo4GZyXS9K4DwYJD0Zph0E6+1kKQ5GSWWACxsuAc
XWZ5yCtN3seaTV6DmGpl3Tq9uGr6HCq9MyGQ7lOTYOYOONOq7KeUJoVyjgZ7T9n/qDvJ2hzila1P
n7PKvw6q+qytMC7bRu7pKeHnZL3c+z0VekRYq1prQEklA7EuPtFqUn7pYlLcEufB9I2LrkcQXEZL
wI9r6YNTNppb1IDj0rHDJ76sn1Wj3qJgP6hiePFj44xQUwEPFb1YhMupUYz7chJndpRdgK81cARl
YCYQopWo6FqWaKwWiBhr/xBj7EzJSKGqHS3gdOzKwDoXQ7TVahCbSbnLXJhbhZosIxtItRUbV26f
3UiCn6BGgPDL89scbhpWzOSMEu9OVZULF6ceW6GNPlQ76bsbJQl3gV2dkZh8R1OIkAxtXxustIYD
I7R8xgi4ipPgavDZKYyIGic/XNW4/0QlXzKSjZQcgjyTboAB27rps2Wo4ILcfFeo0XVNfpalA902
8fMaGfGvg3rTzHhsSZqHB/B2MdoBYSr92u+CpevHpPi5DRn02jZr9Xv61F4aa8MaGjxmVkpCPvMR
LmrF1z25p93jwd3g4FeDIk/oPLVBCoow/kxI3sZwpqPaQc9NpHY79traiMu7At8zml16IkoXffXr
ovMGCP4rGRqXvVAv/cB4pONjreiJrkwySGIintxIdSk3QQ5OppdyFJeyhFLA910SCsZkCYpe4KTF
0RuOpbbyR8s5FFpBPZt+QIr1JZTqVWoq5wDN54RbY900qNl9EWqLukHZFo7Wg+iRjLt8aRAADpj3
HXS7tH2g3F+VivUAF8lfl1F1r6LF5FjVrpOmIyGt4aodX9u686enQl3cFW64DWoaO6JMLkoE3kmg
kN5ErlGpBdVSR/m7rOoMZ9wAknwk+cvkX2MyLrWuugmiodyQP7jDIwlHRbbQXudVW5j3g8aLFqtw
TSjxoG0czUstiS6TPvHM2Ax3djg15yXCThKTjDtClIJ9X/tXbpM+INY3t/PrDuoWGU3Oao5AwHhw
Qgkr3rzCNx2du0YOqb/cBaV6qxMOPBVCRS1MTpdaLFVQNFWgEopi1otAZN+IK4NrYYBjMpxbCCb7
CEdjgv25S3siC3V5P2rVtTuQ35OX9mWsBZeZHa9T2xzP8iH+XKXugzkY14jnijNhxPmqDaxirUvz
YcrcnTtDeGI1wnPa8YuVSlsXWiSXZW52W9KucHa8spwCc+Y6DVqsc4yowUqtgBWbwJ8Sw1JW+nco
1JsT3/F7neNt3ffkHD+zHizXAoXHGo8/5xTCoEeqOuh6Hh3ikr59ftFMw8I1bz4e5OQk/+cgEJYB
xKH2tU+qRokP31ppmoiwsJ2SX6ikdyrmrexvPx7mpLLyfRgq2IIi/mzwPSl8+DTKOQWobNz1b33x
STF+ox995/dj7iN4xZyFIeL0XjXuaBWFlaWHvGeibR3/6R///TQgdO4QN2q2Rf18mKURjSFdVNnB
4dwhjsL9TTXxpKj2y/05OSyDLdbAFXB/SHZWMi/R1rVNQXMxvKTx8uNLeWeomZY6q0MEOgP35FGk
Dv5okGbJQY23iHmluigxjpseyzAl04/HOqlJzpf102OZp/ibgpqqRVlnW2l6KA0PvzFoX16tmfzS
rT8e6L2Levv8Ty4qt2MXDez3gaAAUHkewjXryLwUl7+Za++8l3jYEBHPqFlD12dF1JuLMgSlaBbe
/NAYaz996oaV8J8/vpz3pvObIU6n29QI9kpCzQ+58xT7D6by35jOLtopnK+o3cRr7ebNJcRVKqRJ
nuMh5guIYT0dY+/jK3jnJuEbVC2D6s8MkaEC9vYm5UrO/t7SisNkP/X2ZTsTLuRvvl3vPXQmMd5d
05glsKfl4TAr89GZsgP2CIxaM2FCXBEfUoAGMX4zk98ZC7mMjhKVsj9a0ZPvZOhDcURIkB/C+Uy9
Aq0bwsKuYAhs9OvXW/e/XfPcvBSzFKn5ucb5/3XJk7fyX5c8L59KZvEvZVJ+5ke5Uyf4VpvBREh1
TVTBb8qdOjEZFiInVIGzYJx38q9yp/MHjnCyF6mSUoa05pTxvyqezh8kSsyJuIaY1Vj/TFGFFIs5
/Xe7Ym4FU1PlK4TJEraO+kpTf/NW1VWTmQKA7qEsG6wibDEWtUtQdinGT1pcbfzQeTZ7YF5+2X5R
W/8xsuhdqYN51gg/hcyhfHK7aqmK8UJMGDgEdjbdx62pBtHBitL16Dvk7Qaax/FcR6SjbpLBvegN
cV5kxcYJ3G0b6xwocpOW5P9l78ya4zaSNfqLoMBewGuj92ZzJ0XyBUGJJPYdKCy//p6iR7al8Tiu
3/0wEROeIWVJ7KqszJPno4/aRsAuvTveuU41EJeFHdAtCdr2IdGlHZ2FC82hEQm08hpnM5vIFRqN
/SuS63RnFEFteo+itq4p/K8cn6WZoS0lSz4yf8zceRdOGT5qx7/J04jpbBaUeOTXs8PWaZRXOrvr
9vtYRel5WYb6tez5dWZH7hatVVk7UaC5lP9apm+JM6flk48xzZBEhxKK6uOgR9nGrMcS9AO8JIub
IIE38eFOCMpb9wpEqWW3Gz7ZlApj+6RwFaET2oBSsVWWDcWzNF28bhXhQhTFydJzmBfgl1BRMF6r
10GY0VFUhIw/uneNYmZmRc/QOeZ34UPUeKA1pWJsqoW4U0dxN7TnLl1AHEsROR1oDmPP+1SxOolm
7W3gHaoUIgRZRPIU19MpwsdUrI8G9FMp+qdRHBC9UPbIJufAG25a21F9awANsQcrglhxRNECUVQp
tojupU6gJ7xRDXiU8BzYLIpFakK8IQ54UmvwQJONAXin2CVfUUwLOFOsuCawvXit9Ya+laPuZxz3
ZsHCbFge3EFzCFfSx2DUvOxQe856EjYjZAJpiNAU6a6vnLzZt11UhXfe6GlHw43fIq0iyxlJ5HGp
4yQgH/zQNtE97VoMML25t7W6Dzj/N108OBuJodOTZXUqvfbcdcVHNRHjaC/jSZ/kU93RHkK48ziY
Tco727cCGdZPEqXmRnTLxVBOF0Wh20HrpTdL70mSlsiYHp0zwhk+EtpjPxoEOBEUkpq8XNwICqqL
dqQhbZ0E9RAbycSGZd0OK9RF7rIhrvv9C1jFFdmuD/5EF7xwwkNkNlh4ZtrCqdEkmzatum0Sl3j0
s3McaYy5onij+/65zP19zwUdjEJ7S8LkAYYB8EuL4lVq6m9WUj/KzFvjkEWowM7+q2ydjWZoz9Km
rTH2TMgnZCUGWcc3bma/AM6fOkO8iaU78fS+XAzMLySIkUfqXE1VZZ7LttjlOv2tWrgna2oDRP86
Pq34lghPAouT+cUU95m2sWfvVCfEq0kGmGGM/bLESJ5IAZ2Y5TeszGvIedrnWutvUxJcMOos17HD
SrZr9WtrDNdFQhS25u4XtT/fh7S69ZbdL9Q0qzz2z6hIWaTNrjBLBIPN37rJZpwUU7TLiuXFd2W/
7YsWaG9PKw2+TktxAMrmYhiXg18n31iaJrTAMNaI5/1VnaR3fe5884mjZrZLblnZiMdI68vAKEI+
xBUDRSvuN0XDWbjyl3zadaU5F79tG/174yoo4X/fuHckkLBnMPz3rau+7vdbF3kKjx4V/8E9qrDj
P4aM1hdwLOJhQJ8s3qj8Tz+8KlzVOpAyhDGPPUpNarP/3Lq2jnKFGxomGjrrM17zx7D1P49i5rT/
E5QxPiuvn25dG9sFo041AHX5V+F+/3OlaYQDerLWra6nVidxVtqKz7UZctjjPhbtgHx1pmOkj/oV
vwn9pJNjgcGEZhojGr16StixPLNHQ6aOZTUs/rj23pmG7nLMwvoNOLrYiVwmF3EuOKgiA8Np7WvM
1gpS0a+7tuivmjS1n4GN+60RQuIHRMvSmizD8jKLav/NA3ycpxyy2MAXbEYxSn3PLR56b3ae2dsn
G9Z0hnPfxYLIzJIIKDFo2dZw5urRGnRGd1ZnvlfOkD+hyiv3kUPmJHKE7lVS87DE7CUb0frjTqQj
Lc9Y1jfQjRv4zn4bJVG9lqNhyyu2R235neZ9bJ8M3rPztMXMO+zwDCNssSNf6e4/lS5N2JXtlYjJ
TxcR2VYoDnxijz+FMAupvGK89HwN3wsCvniyGUbSFYMGkfWIvpSOUHJytZLhWTIAGzObaYqNOfpc
3uH07I659TprwqlAfd1yG8Wuc5wHIhn7sVpeoYUAI0q6HydKiniVRIa/C2sZfSOoNQn0cllewy5e
3mkrP7Vk3pRRctREhWLAADsfnZb99nqMDDaNB+hsrLtkAPfzRVZNJAv0PvlcrEVjdE7GKNl2BaFY
mAALqoms+WqLJD/kvvFgkVi8J/sCVYA+ypVDTbB308698+K6OPRa7z/UeuNeTn6jrwuz8vUV5RPr
ffT5iGPP/W+aYLHWynu2yKfiKvUMApd6SSigpnXTZsybpl8zHCPoU6u6w1yH5a1reHTPie1+iRZD
rBdfpA8TOecXIrXTc0di+rOBPTEAzEW3m2EGW4ZJO/HDS0ElyvEqjdrwiRfR+FASSrIZqim50+j0
Xccy5y7gqUfekm3LbsWWNCGobDz2m25yOnKesPgEEVmee1OSR+xKnHXWUUyjdUPHnoYjfh/jva7q
ZdskAN4+U98VQYX/WYz59yw2OR3/91l8BQsbvf/3Say+6sdJTBYg3jJTRyHHVslPucQGTxm18ueY
HIEOuw2/n8SW9QWgw0VvhRsIGOPPWYDWF8tzXf7DtyVjkAfVLyfv357ESqP10/uHd5S6Bnx18rNQ
6f3yHm9czsZR6OG59Y14Yy155gfG4IcnbWr0Uyk6YuU1fR5e7DQ+ElP7DOS4BLVIv1uSvCBt5M2x
xxFKOHhj6elBr5t6M6UJNQTq0OoxaqU7g0LqXaQG+zxd0sQlsLW22ldSV5P3ftDDdmuWDilhHQVa
yYykZPK7jTGNkgKbk/kU5K0tt00Ldn7EKulTGSL4+0zoy5KatL5UBfdNbfuhEeuyclSon5OEjCTJ
+Qs9g0GacjdqFnU4ghWGIHPEIUFCYM4MryYxkCEuL57xxrCWi5hEQVbiLuwqR9MfHybCAwLHbdms
4BkSVJ0c1mZnxxe17e70WrtOJWRBHXqnXsUYuirQMKJHfVF2FXF42phtZhfdd1tr6Vo0w9XUd1da
NuFBYZi+mvlQL1U1bmI8qv6KYldD5WnN7Udm9XdJrt/xwC4ceud9ea012XK2bDyJTb2Najd+qgjY
EYjzQ3TUrPpj2beq+INiOg3MmgGOWQHi+8Pan63iTnOdcVt7zItEg70DHmyHkJFVGYROE7KiVUiC
69o0yvhKRmNIWFI6rAib2PaTVt266Kh9F6GDPuNC94dyVZu8axPtjHp7S651QlR8bT90Prl7MZOx
ds69LY/fBDynCEhKbFdLLepnJxx45BoaD0dujagLuhlA6E8fxf9PJ54PnNo45bFGT4smw88lBslE
o56Be16aelxvrXw0X8ky8oJxzug0fv5a/55/CPT+5vy7TeQ788S3vzgC1Rf+fgTaX1Svj5BxnWJP
0Ws/gDcVlCroAGHs44DE5/nHCYj+jMOSY47ODAtvP5+AlLTEefFjr7yAVLD/4AT85EP/XIpC1Lkc
wJCjRMezWfdrk9AsGdoNFgrhqmlqcaHlSFtyhjZ6R7QI09EM0N20MkiJ0ADyGIdla6CjFQzgEodO
g55fDYqvHotJOzhOaZ2HTJvXo9mVpyL0i7vZ4pYfJru+KJO++t5H/Xg0izG7sw1KP5utpDLoJ/Ee
mgmNBpu9NvLwVIYWYrSXGNbcZyCKvbMd2f3yc/KzDSKq89L5JvnMfWhWstyanQvQ68dlhWmMMBHd
Izy+dpv1ZKbmytFTwKlYZNdFMYT3JiXELdkTeXynp04WdbtcGM1yoC8QMuTmTrKmtUG8iskvCIyO
Q0hyk5EsOY9eNb+i95E3bWt4Iw2W1rRR46NiukTik24KJ2nSB40sadgCmQkRTKYLND62Ft5QR7Kc
jVfUOtiy6DcLvds1cY0cjfPR62tSy9Q9oMvWd05SXRHENnJbFOriYGuEO0Rr1H0yJ6Vl7Vg3Sg8z
BIu/rhb7djE6KaiEuJYq7qc+zeNjTcjacnZg6Q5e4yXyliwwYzuzrLdYQcwP5nguSIQptd9On39P
BGWv/98VkdoQWpFH2v/VehBf+eNIMPUvfN5wktAUVp98TosfZwLeT5dHpsm6OLNUwNY/zgQgWFSJ
pm6invoZg3W/QMdSCTsuIx7k6v/Mji5+HoEpDNZ0DJ0zQZVEJvrDn+8Oookch3aQdimcglzi6iCT
cFyVucu8WkF9mZj3msL8Ung/XYF/UiGAIyzgqKDAHDpwUZgg12cagPtWLFUAETYKJ0zgCjkrHis4
Q54j55lPA7eud1ErFNGGSQxhE2lj7goFK0Z9fsuHuIHqsL5zxQYM5zpClPUbX6GOowfo0qYtQZ3i
Y7LdaZuO9V1hpg/CINpoyRY8LBohS4XfPNkDQa6JUa+LDK9yGtWAXpW2LRskyIbW7saMJxYkDQjf
UBzx+Y3JmkYTZBwAjrYOJ/ulzqU236Sj9OQWO9dYABN1fXU/NKleo9Q1bFgRdOoUNP62NugnyW7m
Jcm6MECDtZFOCQqJrWFI5x7aAH155SGY1NO3XnAG6japywkvFKu/zOWD2RH4Gs4jGSn+ABgyV3di
IuHDKMyXFKRqNfnwJcAqMugqeXLDrjs2evkNTjZt12UeV/rGmSWJJG5hmzdNFvFOjYVDZEV2r5PI
kgm2ZuD59fWk20+lXT0WiaioCafqAvR/DjRBBInwr1gLPZR5ddkZ3a4A28x9cZyc8ImrDYd9Zs0H
4pa2Q2nrB2NA6x3z+4ZQmkBSXWgIPefA4d/nqxf1yVEmVGY1f3w8eENNYbrFFdOq+1yhYITAo7qC
DrM/ObFeIWPZJz3WfpJkxuidF3O+0TtE4LrbNUBKgGdtrd9FkGihQtIW9IMNjJoGRdfArDmpOIBp
7zI57GMFtUnott4rriYflnsy0ejBv9kFf/PcMnHKkrZdpF/JzbkXVbwbAefQuEcrH5RuAqljt/qi
BbFrQe2S3tgbir3jwK0DV/F4C2DeJEcIPQNWb+Ll6yp6j7/ydDUM6XsK2Cdb/t20OXI2lqL+XPA/
pgE7YkhfzLbYhIoP7If8vAAMFoocnBVDaGn2XTKM30qt2xTdfTsYRuA3/k0EfFgDIZb1cgT9ftT9
dMQRBigNrogNndVtAEaaay+FIho14cJT0xuygB1jRT0ain9kW/rVD41qo5OxubjL5QgqSa/mqwk6
WXXaugKlND3nm1XroOIKsoziKzo1X5t2vGDB5jFXNKZuzttG8ZkJKGYIsJkW5SWdHU+Ff36Tiumk
b3vhK8qTwcwpz/m/gX+OigMd2+LgAYZKpUxTpOikmFGh6NHsEyQFdZkD9xMvjeEqTJJNo+cU+LR0
qNZbhaNq3R7W9pkI6u3oyw0zi11qeS89GGsx4O2vAFstYwh6QNc2qp9mRb6aBVj8aJMaCRTrGQ1q
McXJtq31lADOjojQckXSVp59Y4HWMli7MRVrOy/y7Cj6dgLDDcvWO/g0dGIA3cTLvqZmdsF2+YPA
WoiaWL/tQXrNOj/HIL6ZPnwlTOeuVexvAQRsF3zU9JZYd/NqUpRwNFN1kdm7z02SLQGJ+SE5Voos
jkGMu5D5iGKOh0E+FWaD6hV+SYIl0986aT5RlBa8cjNqB0J29zogc982hwKwecRl6C/ZxYT0uM+X
m14R0KJozhZI9FTzI+sVTBmApUOg6Qwlq904hx6YurPrYwxcbVjxowS2doCuqX/zFWaqrXSgrcCy
M/BsQ3HaC8B2aLYXMwA3TgM+YSDdcZWdSB5+mUC9fRUqQYN8ZbD+HKTg4LZMtiV4ODsKp0R4H/++
VigiMHPQRv7b2gQfSNAOy393bNRX/l6b4ADxSFXk7QHJ9bOU2fxiIfgBG1Dvj8+x9I+JtWDf2VVZ
P/+xktMC+jGxdr+wm+qg6zAw4ACG/aPihGWsXzo27EDT/iF/iTcVOpBfJ9Y+Yde0GDy42ympeIqA
5rZmbq7zqfyaULxvTAXwdmaLcDQTNC2c/tA4xoesiG+oimI8AkfSCY+zdN3rwz5CpIgKw1lbbcVl
Xg7cYnDEqUi/jWHLla4QY1nyWcgVdiwUgKzVs38dN8WDowDlZrQQDMMsAyo+RFFPjnHyFb72vmDd
6kqoG65Sd92gbj2dEMBjwUUYYmjAu+jfeKQprKbBfKcEGbYRDZP7svH3LjdgWk/zVp9KBIvTbWOM
jNbwlhHBeCmZRpKluHP0Lg2kw7iRlnzccfe0c3XuHJToUW/tMhi2IIy673NCoFoVRXIjlrkNrCTc
RUlzZ/vzlm44fQ3Qxa5tk4PMxYthxCIYp/FSKijTW1gCgt8MhgkctEqM9ZQN8Tpvs7XvLLch44W9
oxn80QyJPOUJt3LhRJeMzo6+l6nbOd8svfaWpjlq4aZhIFElu3EZk6AJBZpcmaG+gM1mDx3fbu5d
W1GJVaE3glyosLbeuk1rcVt1b1gDPwTfbkAxz7diEyY2uteYqiPokNSxTNNz6VnmimQ9YwXis6py
yQ5GbrMHM3d7r/JvWU6urpvCODdTOm30xqjZHqAVD21h7niR3dsLe0KZ9Nee5jxA6/jHRqZ7onGS
tduEl3rHqjlz5C2M9Kmr+usxrNZ9ru/gmbfVRKvJcJKvvt3Zu3KidxcSYY0nttkuiUBYOj+ZVbG1
S/lijzOgtCVvJeqOlbGM7/zK02ay8ncpGuOqrCguG2O+TifPIt0wPvuDFl5Iq/3Gwhj2GYzghyQq
3ZdYK8SmEYMPEIEjc6MvyKyckLpY1peEQ+AqjqruZuoqk+yKGcSAPyCe7HSP3rzaG4+SxB4vFNu2
nva9FW5nB3m3FbbPvs21Zs8lays1vwTTzhpRbzsS+jE4/BF7UQj7Fy8PVl0ZK9ucx8CqxZ3XuKfe
mN/zuMnW5JjdIqyOTu4iN0shL02WrAyfaU/m4u7ElfeWLrV/6Cvxxi4rDTyPAs2RwHeV0d30DUEs
YXsOM0ANQRPgWAl8noyFARIIFOXpy0+4RwU/zXwF+mX2iKN5mxrhR16H1znU+touev1KxgND44G1
33DJT41Z6ptFd5t9NCxrjVUyQmeOY2p26yQ0n9N6UaE6fX8R25p+ttisf9f1MLuvdLve59IjVdDI
YybO/95Ov91OvGT/5nZK3pFf/8XNxFf9fjPpDGgNeFb1MiUS7+dXM3IMk24+dJTJW/iPV7P/RXBl
MWz9z8SXb/jjZvK/8E1M1SZVDJQisP5BJ43Mgl9vJp7zAraPi4nsAswaPz+bFysuYrNKmNl6Or6F
YmHDwHipojc6WIujVOpuecF+i+qi+ebFWPPPW1NcuUZ5NdDPJpbzNh+GF3YbA8LE4Aay+KnEJkxf
7tYqvXPt07nuxLPh2ri3JxpIIjv1jgDzh75EYjg8kMt1D0zFo9fX86BhNWUN4P5MH2lNysjJmWlR
Gc3rwuahkS5Ppq2RSzz1x9gpN6RYiiBDs9QNBGWm5fKEzWo/0skObMR4k4ifKeQfFq+68FNe0y6n
SeaYH9pYUv8PjxmvUhpmzrb1te0iluvEz8SK39mu9llTGX2QmqRHCRUqO3g4HnpykOgVegRWknnQ
aNu2k95qLrzHZjSnlXqgHBCDGygtES3pOQGSo7Zn+437ImnD/aCRfWtPB9OQTFTc27EeboFh2ofc
mV/zmuvBbbwjpp2veuGcGJwXQa1PZxZUsOtHQts4abnvpZbSm8edaXcH169ISg0Z7hpvxO6+ROHw
MHsOVh+bue7ijS+Z3jGkaKwztP67JbgLiLB4+LQ2jbotA80Otz1y9dU8Spfbft6n3bzzvHFTM5Af
Ov7Moii3eYBHKeQRi5SyvSQwhelTKNJq1zuJM52IcpihAWq9P1Qe28e98NmBMHvGKE2lt2JDrzSU
m66zev81l814SHvH7Nduhj97NVnjzNot1AyZXTaiqLhp2E32efw03A6V9b2M22aFi8pcWzb4vGlW
/LeRGNml++6Ggx34WfOhirDVTPDqXBbLShizZLshuxVLPZ+EJS612PQQKdV8D3ZjKy1+yif7ufQm
/NWTZAczi/GksJDEw+EtrbsPc57el76dV1LkjxFw5IrhHJ4r0o8yYrzbUks26dhbG5DE68m0orXl
Z3s7bp+9zOm3vH1zuGXvee5NEuhs4p1dMb51nqmaU+PET04PZJB0XqCnfnTOI7K6gBXWZYTAaUrf
bLReTsHPC7nA1GsnYq12aVXfSCslRzWbHmo7qVcuqBY5yCtAZGos3f0a0pnaOfwTzxi/Rktzk4R5
MNvkEozdc0kUAh0aDae3EEuy5ltNK11kpLrFGhdIvtK0uGOCN/FIG/kbx5x+O8xVdMji+LS45eXS
1oi06w8GAbwwbYkup5mz9vu/98pv9wpTk7+5V6r89a/CKm2+6vd7hRcPi/8Gsxj913sF66HSFwob
Klx8PoZ+vHi8L+oKckB4eISw8MKV8+Ne8b4QvSTUXWXTx1WOg39wryBe/PVegdHlkhJkMIEKoUf4
+V6xvSJt7cGcr7w+aq9FOhe3NDHx+uW2eZzHLHueDRLYPOQ7Z2rKcCUXGVOFyuVR+GN/F+tVTog5
29Qcb+FGaH27KYlLwhunX+YKkZOWEV44jt/eWFPP10tGWesBcJHDgpJQ8/zjZNJJ7fq437NqlX1P
aAqQhQ59R6ghyYh1N70UcRwdq0YttWt9uqa+orXIS42V8fnRN9k/VhRNWIjjADUCyKONp5IYxE1b
kXExkYgCsKhfZexj81bKsLe5TbaKE2dPJU8D69Nkpn9azTz8ZvVsjDaSJTJ6lyX64KnwHCsd2hJK
Gk/1MQV+ZYMOZZq5+GPQc3tfR0b0pONVSwar3dp1eeMo5Rr8rrbrlYZtUUK2OEbNllv5yVCytoQQ
5rUex/Yuy0t7I5XUzTW4pxIY1mNT4FYMK3mztGCbdY72EDx1WWmOw3KiR+M78i9TCzxIzvzpaEoo
h9IOgbuSzHXk/qxnJZ5rMNANZvrCVT+RwkEaDu/tdGNAFcdRs/QqNDPeaCPQca7w4xAOObU1tEOA
yROEcvGJKitomTWM9DzBMWsZQDOuaxKVFeRM5haOhOjOtcRNIei5ZNO0M+GiTc5cn0VsYGle0lcQ
udcVFLUedQK1XnKo4auZjjtM5JxNqNBrV0HYucKxu84hDaIsTh2ktqOQ7c4d7ySPa57gMgsyBXaD
wl4JSO8S4ltCfqcQ4DUkeKyQ8EXB4W7oXnPTbBeo8WJJyEeCI/fRT1A4QZbP9bqGNKfGg1GDPeeK
4n+BRi/M9pul8HQfTp1g010Ft94ogH0KcR9WNVA7UazQl03GIy8wLXf4bnsqbNvCGbHF1njhj3Bp
vOuT7MJgVEce4JxXx9pH3CGMdrqIWBM9/HsY/3YYMyr6u8OYN+tfFfl81e+HMT0mdnxgNj2F9/xi
ziM9mr6UMsr9Nkn/4zBWwyrwTGEwa/9FQatT3fO91K4FM/Z/BAzZn0DQH/NyOllMYIRvmx6rFyxo
mL/My9n6z+sMGcgVqd38ADnqZ4mx+vC9TYeNtCH1dIUB42IrgbL9x7BnqzRUsLDjiG99kd8JhREz
5VsPPYtsIYTxoOmHDuKYuVAUtApCThoC1xWZTELHy6hY5U5Ry0XTHBoJOLckV1avHdhyPnewQEYL
7zwo8lmSvbkSnbcvgaIX0EYBJN2PbhVUYNOZ4qfzZLw1rf7ZV2S1k5U3c6YZfFS0e03R16HisBuA
7Ch0T3n6lENqjwrZTp30tlMQN0sjsM7OiUwN+mRLuZsV8K3X9lWsEHAdFnyBCZflcPK68K32x1OC
zslU8LitMPKoDM+jAstpdj3zsN5QwhmvNK6Y50GhL137mEClR6TMUNdbTcA63sMEuT4ohL2CZc8y
7zwruN3g9xBCuydL/dop/F2GWbJhClkEsYLjSyj5UOHyrVc8cDdedcP4UiigPoOsn7xm13+i9th9
V5LRuAeFT/1/lZlg+Q58/qBA/XnxH1PX3w4Q/KOMd7pC+jvYfrLl7UBC+3tQ/6PC/0f2AJKYtCQI
Uop1P3ts1LJAlvVPDtsDo4IBerVPwF4BoqTogghiJFRU6SW7B2M3EAHMNkIXUnx27CeY7CnoamHB
E71/HN2h3gCWvZWRuIvCeTdkbBQXFcGplWmsBkt7B7RQZeXWTfuv/LN9WdEUtKWHu9YkYiFOe+IJ
0vzCn4p7pLZGBuzBor9LcbOOrTBei6H74I24T0WLVKSJg35oIzaMs7MxNJu6wgCsZ1KupNbdGbLd
gVA827Oxw+YR4WR2Tl3KRLivKntdlgXCw5hpEIpbu1/ygMt5M8cCsILwRh6bLY9aBD5pEfYbc7Z2
ZlSdMsdmvMjoIKMgsbPxmMZ9GsTtfNn6/Nnb4amnqbvSWA2Yvw9R1X6Ny57c08+0PbcieM+syaiL
Vp4K5NN5Nd8CvFHDG1OyJb95m2kxAX5m+EHC7XvoEGcQV+yrq4gYUU6Pndt+6zNiIuuquuHe2hHr
cmPQePWwTwSWizh2EkFqCbkGTyPp0ukvDSu3+c3VtOFoTFlTim5oIqyJoNWVn4uF7K2O12dSrPtq
2lru/Dq55rqZphcvpMry5wf+omMy3bTDnGgXZRPv4kw7lH6FrZetmhRXC7HOaTFvM498kcmreZMu
Rws5gtG069iZo7VZTFtZwL1aCfxt0mRBn5krfxK7kTWgoi74C3nslYtqGpSmIpAMmNBGEmlYivVc
dOs48Z+KlDCbro0vZA3ItjSJv50KdyCHutxDDl/y5PzejTYfAkCUSdSbjALJquezPaQHOBcchqbe
nsxx5O/WWYUacsyu/Y5i5opO5rpL7Xs9iViNmNuLJRMuic/lxs5YeNE9sj8nw98amX7nDOF741JP
+RJ42Y+8oBNyT0diCrTG2dtWcR3qizzFRJqnCU158JYgtofzKMrThPthVWQ5GmTvGRfDqme9gzYx
3XF954vhOnHlV92sDyGpUsA7YpOlOeffVKIVd6tbayCKO1laBD285KN0n3MA1om8DN3lHuP2qjH7
m9Acjm0jV4x8SXzjgb4s5tZ1242FSqmCk1wTfL5wCltb3+lPYOBbD5w98GkdNrX+LQ87c0XI3ouV
gADA01sHQ0TXRkn4ThTdGIt3QcCpDBZUJ3ihx6PuZoEgACTI6og+jpb4Bytyhh0Ou2tk24SMz9dE
7nxY5rItixo7DaR062nbJGlKtqVIB+zr6154D1MyxEHhOEMwFQ45hqmZP2UEgK2jWn6k3XDChvGY
DyVtheoi9hksD21yO8BMmkn74UQz4U5GfRlP07ZJl4fMIPURZOSRE3jTlc5Nq4Wsoun+s+a2X6dm
OuE8rRVVIegP0zQw4pOJGCSelLo8Otl9zzFuzwdSMiijjRCBw97tuuxR5vCja0Mrja22EKjlIWrI
9eRgOmqvbCyW9VTFb7a0hvUsq2ndtcarvyxXRltYG8qFaB2ZBkppAn9Cq/kQTDkDv8/OfcJ+0TBP
5ZqJxtcqNa+rwrwlf3bEUmGzid19p9/IgMg/4va46tzpsJicX61gHFs65cM0a4/1VN3nCb2IsbTW
NdrolTePVzJjkm4v3t1CPOY6H9Lhpu3Ji3aYZuxtNdZ3QwRb5NYjnDj9qZ76C+rzMzbpj/JE7XNC
BQrddJWMX4Xd/PxW7BrPsGff8q+Mu2L15GzldROQ2xn4r/e33RkTxaYK+n1y4exIGNxX2/joRPv0
HO/+LXA/C1yV8vW/C9z79/j1rwpc9VW/F7gGBa5JYIKC2LEaMCn9nf2yWBamB6HmmvSyVYP5x26S
Tho0nWrPphFAfpFF7/tHt4EGN9Jo2g3+Z7Phn/GgxO782m2wsS+qrjiBDZD2gtHwn3eTypyfK4xF
3pX046xbpxYwlqPv07LUjkMebYzeBgfX5LwK5XCYxpnasTDdjSH9Y+8QHVfTpN9G6XzvaVWzG9KC
3AEjyckOKDbpUH+PzInkgaUfpnAHGjZoa0sbHjsPhHEuyOlyWzdk6DK7h3QSjNxMvIpCtmceAAN7
o2YMUGN868PuQw+Hfs+67SUyH2W6q5DsJxM9YGO6EfgUbxo6d0GUjTh2c2IGWjaYVMYtbb2BwLvZ
rwm45d/KmzJosEHbG6R5blJmS0j7kjejNKdh3Uk6931J8qfbcVNG9QKXY5GqmoWlcRWabA5PQ8k/
g23ZCyM3VjW//JLkRAUKHYuQnwAEUe0ospSHqjXSOkahVMV0/cx93zJZ5on62ucWouiIpIWql85K
hsQeIp/I3OokNZ2by7UAagrSG5YY0rwdcPUOVGctYO5G97SHeulwMrb7GmDn4DTLNRKueU258tVq
xPeqrS4bjo5Va8RHw8MH0of3kYRDH8d2LTP/o63tgz74Z6cbmYZ2mkvShC12dV49pWN+dMvkeUr7
Lph97WOKPJYpe9Z6c/niENBSl6I5GDZ1alrC+ZQufywypxaw4ii+SNixWGVNlxAIUF17c/qY6aJY
jQU3KSDvtKHDNFLGluAiXffVld2z505BZZvVJosShHlREhPZ1TxWdIS3hZ47VEButO706R73TYD0
RlpBIvV+Uy7AcG6OlSmyh+u6g5TRxYgieuHlX/dP9CbeCgYO29Ay3mo2lRiAx/2xDE1KFc/aRqWQ
W3eywmBpkMZl/LjuBjQwyB/tAvuzgQaptq0DgaT+LqI3F1hexQeBPNc5xe+cdd+selSBXESMG2mX
rQe3+6DHQNivPhcBn/06qMss3ybozsiB9lcswrH0nfAZIS815wKKl3VoNAGbWOjDsI1G2CzXsTdd
WTLcm055TaFy5WbeQaMyGMxDUazD8ezzPTu7v6ubsWfcLQi+cL8Kv7jKyiYn9jmd12E67TKQMb1J
3ruyf/o/9s6rt3EszftfpbH3LDCHi11glZ3kXHb1DaGyVcw589O/v+PQ7bJVtdMjA6sXWM3FzJRt
ijw84Qn/YMW+TM+0RoAizJ15ZTnlNHPoD9chzewoP1PVZllJyS0Cf0dR4Z3WRJErRUUURSXWiNEz
bJB6s+jtTMoe39dYHY9RFvzmV8HaMCHjmXJnHYWFdao6yTqoEXCSNLycK5RJsygaRYs1oEGhYPDl
KcFREwanahOcKkn+LVb6AgZfRR9WcW91y7hrcOVUk0gnNs6cWR8qJsYlujHDrw4+i2fB1WnqpaeT
zCEoTKBIqbQz3bvR5f6KvKkEMo+th78jH8ANBtvYPIyO3LHcFqmmzzniQUs56oqq2YhcBtwah2Gd
trV/p7raZd2RVmhBM8BDq/RZ1KLJGhXyD1zMT/QgOA1835qA28LIGBk8OQm+jaZ247q899LNgIDW
sUTPR7kybAdeHLrhnpZeqlLfAQBAF9NpkNkD1lqktjtXK2DmfgOkTL1p/YpGiYQwXG4fB5QTJq6V
XMYoZPVWIB372MwFRp3O5Lo/Ngd7jhQeUn69akwRTomnZgoLJ9bhFo2yfzamHc1/al8zFBV/eKN7
U+TUAweFUEYL/HzZ++FjmRObZdBOZbsbZxRP1Wlq6vJJh2TXqrbzhdXRqx+L8XIAwDiXWgw6I8e7
7rVg3qjSynHzE8dJWsqs5TFUL4jSiu/RkkyGpUYeO43NzFi4yXCf0PFA731TVH1AodFv0HVs1zjN
3KpGezoCwBTcyrne6gvhP95m9gl26/TV3HqFKFAEt9AMJjRll4OlPIxKfmZ47Nm9o2GN4c8LpdwS
f53VPX3P3ptbAauzGtD/1pRvGTx/N6If2XfuHIjByqrZTb0aq18mAZbn7Nz5BIalPaNUgpbgYN3k
TXA26sY2qtkoA83EbDy2VixuXL3H4EwBKzDpK+e8RPhsqeodgXRZTexYR8SxQ6i2VaUJC+2yNMii
TWvMlvhobzg7y3kW+M1EQvZ2LlNUOrdtyQarCTClrMr7IFKujbSJpxS2b9Eb/BZGNKVK9gUK80yN
GCsbdhBlMar2d5qs/bLERoT7+16GBagIO3usQD5MnBCwQ+pr4xqMpoGyR3HBmUdFhp91uX9SI4I2
oS1JqC5lcydpHl1R75Wt4lHz0d8JHQDYkkt22bpnSk5qqGOvsnAyp515FJ4nbtiAu6rZwVzbWPsW
Lq15HqQTCcBW1nirAZ1/dBK+axL+O52UXg/Z6C8DKfwzsvIHoeJBKz1Z4liwJI7gHbjttWJgXV60
pOhYDB/ltc9RnOpgvAiN0BYZgYRKSnXujPrMw+w5EsboEPbPewuV/wrPdFkLCINxUbelFBgWvuod
9hFzqcDpHBDNJvLx9c496V4WduwlUFF28wqXdp2Cjx/ohjSNG98+kuvIKdZZHGcUEcpAptWLQ0w7
onzpFP6zxtb/8SgMAtjfxNFlAIliIGh+0jg/evzP/1Cew2/+7K9Amt6cblJNRD8NyMe7QJoisfFE
hRCi5a9RNKE3bBiLIjFUJ0Kun7Ag/DueJSjJgDD8h7o6xHEfomi2fMrNKrrlNrcisCJvdHXQvu3N
AnGdi1TJdf2sUht2pKEJACJMtKFTnUnf02YTa/YBJvefo1gBVC2udbEmNOv7AKB4nrNYSmQSC7F6
apvuR6Nba1msLEmsMZpzrDax7kjJ/YUq1iJo7rUkVmeLy+E0dLPzaqgfJbGCDad71MWa9mmFNGKV
Z3Zw0ot1j1DUmcRGUMqZMcvE3uDXZjurxX5hDeWjlFEyJeYUQryLMYmGpcwmI7HZ+F2tTKhQryyr
XqdjVFDrZFsyiu4b0iu3cT3E05CdSzPqe48q/tIRmxrKfua5h9LDHJGseoKxQDlX2AXpoWdLwCzt
xGaHRFL4PNMJXvxRvQZLX0xgxV72qnycyMZWr5OlVuI/rgcnujqgHYRwZ28DJHBqfttZJXJ539DA
ynoh5hx5OKGZ905IxwjRRl17qBznoVSr83IM7oysf4hotc5oPowzoA8XaOOowMm7VeIH0iSs8Y4Y
pcZbDFFwXQXaGgbZetQKV0gxIrClxhSMUQo+CpWqmBiK0E2R9QvJ6MCaiczBkEBVer1yEvqmtwyl
xlwUHjDwopExiOpvzQqhhY7ysGPVx3aGy5dM7JYPOoYcUYH2bp6qy6HuljYIxlkpKjg5BNNlZPkl
8r0wkM3WRditUZHdYauaWrhxlV731bUt1JqbC1NuzuUM0XlJcoplqadw01TANxEdUnqZk77uvAma
NNCF5fIokQxEW1QJtVKDYLiDXiJb8trnVfCb5fdQKq/M1rigN3DkhVTlTDVc6iGOJ7W+cpQ+nUSj
eVuHBQ0R7ytAyS2Zr0TJV83wfjEhQBSOv7Cb8T4NISF4an6MS+ad1GD9G1fdrcRePeVPAY8CeJ1r
bXQ9SCqcEtXM4dlkPxLi0mmQ5WcUPM4jHfB+PfTqxM660wbyxby3++zc6hJEm8LSBhcawEWJnBUs
A/RntLLf1G4ezuQqd8H+wqXRovCuiWZWHNwCPo2ZgYE1Z63NdL0lJqmtepli5D4xOuD9vaK6SPUh
yZx3ZzqaNLMkDLTZKEmXIEx9gJjFOLNUYt5UTWnT9iakZq2c9t5IQyLbRD0iDMy1ax1B7IHzCsiV
5JVXmVXNtaFHpd235jZ8HNm0fqAgRrXL0n+Uo/zNqZxTuYvX+TBcq5hPoe8k+XNzAHcyJMWV31Sb
WEdRPhiO7Gw81pG+nZZKL+OrroRE3kKVaPihVuWfntScdFl9GefSGRYBuNCleChG/ZnmtPgMynDf
oSupk7CJhPit307Luv6RSwlZdN8JyLW1CfAzpfcmo/wjRQhGEbIjM20e181AC9iQbFRy9Xt23QIS
OmFQG5sPtWKD4KKtOmNDPkFvtl96VdMs/LE9rqFfTdXSuzL9fkNdl5aCHsFaKCqkhDwwwZVerEzM
lQuaTdPa769ro6CMKcRDeoClRSSYIKlRsugyloRtnsUlvbCsdzm0UVXWG7efWpJ37br6eZY7146r
r7R+sAmS8TOk+Xvl5sBmPaVYeLUd35cIykNRak8l2VKnTSwWthHeWcgPTcy2ixZsq/qUusT3PkVf
pNEDJKvSYzb0q0HP2lUhJ9Ql1eYyJ6YENWDMWuD1S58i+LStNLSwTDQ47PTYd019iuHkaeW3l4Gh
gwEgQXCRcZ5YWanMUy/mb9v22jBDe4Vv4vcKRX5ULUp3oqaqj85yISHAJf1wdOL22i+DJZonl+mQ
fTc11nYRWzYkJ5tIpidsQU8lXcuFQ20hK+4VO3GnyLvEk2ToQWZhg4SEtgyZlD3byFN5EYKTWMR1
9r1xKJnmTKTOTRcDoJQJnCxzwnGHB4WmRSQesrdAUYcxRQ39iPxg5ZCV4UVIxKahzsUotbf+EF12
nInTOgQoERhVOEE40YNlMzDdbDBUTci/wQkLTnNp7GYRiiL4LGUTUmu87+Sum0iReWtg9lSmw6OR
GReQ+ra9wuUqPbwXueWkQ3BlYjbpKUJ7BYxG6LA2wjmWla5kRTmq47wE4aw280go6xRxGB9VY3Gr
qSz8ONXupEE/r4P6sSviBSrQtxz28klgVqSYtnNUBd45nZYbmDQrRGkxRfQRI4+bjJqF3q2wBEe4
fagmmdD4odXZzlTLegj6TJolJb5XhRAnGTL7SnGTYm6QzaLAD+A/zxNYB3HjHsnlsDElJkPtt+qC
xudNn5Lo2q50HHjepgytmUdDa9KH+TIrqF2nVn6RRThHIPDiIeJlPGDpoC+aOvimy5S2wsK8kBvz
a4Z8g5vH/Wr0tB+hTLVCayluq2oJMqhPsRmwYtE4qWDZ4Yoyxz29Bnc5OJNiVL6ZVbt2dHqtY86L
LSV2bX8AsRdaYMBNKdzIqXoWkWpN68ANidzzk0AIuuh1uRyQ5p82GqLmjRytQq/up4Gtcd4JXF+h
uuk0E1IwpmM/omLWT9COLhetosnTLGnbWSYP1A6wOR4k8452lwKi0jWmSSHd+GV3SzGFZCdwplkX
A7hUCO8bbDy9KoPMoPvXtWkVcyQKjxqvqaaJ7NzqaXPhxZAstaqmDJVLzbQwWU8aDfjek+KZGqVH
EpETCzKU6dTgjOElIBQ5zxktjpBwVVDooGIUbDsgoVJu/jBlGupA2WdWIvgEToQoBUwAqCoP7VCe
OJzkKIwbD5C2MRhoYGt6Chp/CE07Y6tPezO685IEGey+VKd2Y05DKaEn/x2R61MCA+QSdZwolSY8
zo1SmeZNiNZDANeqKPmZHX3zJINWXBfeKCQz4PalKyuhDajCx9Kd7q4n5qL8NEKwyLN0XtSaNx0M
WrhJVPA4OqwXuysxJsv0ExsMvm0PomlexFPW3Q9watTVQCbMvUhbwJG/z1uWrl8ql7GHQQxz4Uwz
A8pxRlhOmii/NgPekWEpGuFlzz5dpme9XqaL0tSpR9YPtDaBFQT1XdGjP5A08u2I8GE/xDeAlJNZ
V7GlWvL3toVfYtNwmeB90s2yuDnNq3KRyuiJyEMFpzaXUYEzw61DbOy3JpSFPt2OSXk8OlQ7vXI8
QqH6Pgih/6BVlLfAhCuiPCti6/MLZqbvdNYyAyYxKxprKfflD9MnpLOy/puWEPO1IaofICMaKz1y
XXfmR+kGSPP3sG7Odb04hraqzDx6sbjFcFJqBR5x1lXvK/PeANHkFtk15YEVgNwjx5BAaIUXNexY
KDrDZNBAorqItZbtadlnR02QT2MDrfjjKlSGaeFZanQZp6N5P2SBaa8LibbbJdK4eTsbbBNWRi49
awf/Xw5q/JbLf9Mwd5J0uyMJfcPkVxxBvVcswEVobKsyP/qrmyN/MWnU4Fqlkqa+VZrDMRtND3Cj
ivrUyxEp6ms3B0kQOPdATbH5fNKc+yfYUfMdW+4JriTDl0MDBuk61J9FnvomD1VaAwwErLfz0fCP
wcCCBMmonUcpWm9hBluTQDx04zM9x+gBwYKV3CjLAE8mvwF9gJC306mXKXrzjaYcd1W+iRr9m1uB
JEzrs35UTj1HX42+QLJL2TD1Le9bNcSXLbWbuZkkKFGa5lQXjkZu3OTTUSEbSgYk6uPIpyaW1Old
pvknTZPZpyktfdsXeBQhTTaC7EGK9rspGQvNVSh5Q0vHd3gCmeC+U1oQ5ykVMoK/mdrAM4gUKKqN
mT2iqk4gQU1/OvoWUXcbKUfGYJ/WtXWkuckN0fUW6MRZpTuiBX9DgT2DpOYtMbfGqRMZ5qw1z43M
Oo5r5IQc37jVJGk2ZvWfnW8uqrZsaaIQVHSOfQFG/CROsvOwi9ZhFy5ySXFZhHDbQotSr1JKd3gQ
09MZc0Ryw1O/RBFfAOjpY9RHKTql7LcjWbTpJAspdP7sreTCaPHFwURgnReXoPUXCccspc1zlNEX
jdbT3wJvEIY4hNHt1hRsf2LpvtXdO+qzC7MhvXEgn6+0OPkeDHBCJBm8KUQKKFLhekA1BeZUcyn3
LnFpZCZfC/0IdhxWmrUNWJRuUbv2ZHvhgmUCOori0dC01z7UEf53sCD2iWd1kX5tuA0X7O00Cjik
9S5bGoHM2NjKlCP6pGh5D2EoEXHIdjzLBhuxp0G7CuzspOvcR73IAbqZ5o2emVcS/dCpVJunToKL
amNY/tTPSfwpdV9JYLiMsNZPMXEhzinCG7xUH+DYIJSVXELkfAzT8qvnANHAIY7AkIda5a7SwT5w
8QjNem9K+Xqh6YI1aIGAy4IIw4oGtbpkZYwRmKJ2FalaPE+bfqDu3mxRLMtnuglYTbby+yxL5g4I
IEFx96dFTEJAfwDWQa9UE62CJSpBf52MPUekiVTxGRzL22KMyCQaIm6ZIzALANlhM2Fjz0IrMi6z
EznrYxodEVCc6j4wrVNDN67Q8A2mVuCgbK+M4zJJifBTFxcSZ+DMg9v4Z54W13bLizc6D+XicY0s
86PbSsoMSbIrJ7evGqSrOo02p+K6R1Yk2RODST+BwLvoR6AmCO9iLORFWHt3JUZLRUnIMg4bTxur
KdkkITgjOqml8hh2zEyO6O4OYLaUOAnOES1ZBqOazIfoSkLFCojTpPXGjRQNm7o1b7y+vYliBW1U
+yJSVarzHgy9TiW+w6L2K9qGhLKxNffHeuEPrXkMOKWjZwq+GHgfWYk0bHivw7FeGfMsB8UbUWCb
qZK+VfvqLJalM1xQ0nlgD+kc8Pkmg7E05DXKZGYy8LqgcAydZU2GkiBcLbrrxOoyNJVrZemCxhYY
YO6njdNZ1zAD+fcfagwFZTBidxLpovkbS1dUZbZVwpTQzSQg8rBu87JYVzFce1XRt3kOpBkRkSok
V8LZSJ+nHVIPpkI7UR7LU1cBM41p+CxhxE8KtOXBWDGbmjr9picxdXCJPdgLbLRTWgK2ePBWLvIl
q0wZNoUZZEuHrZH4elFojTQFfn421v55FWuoCFlCsjrQrrsw6WABQ2et5CUcgRvsexZaplxjpkJ7
bYSbLGfWxgNEjlTascrDzboAro4hN7foPShTeGHFPA6pNZUGkzqq3G+tOX4ra+oIle6tvFhaQaVt
5jTmo4leN9e5ja5LGfF+NSmb2dTfph3EyYmXUBIq4cWwy2e+c85Gt/QKLN1UvboZ3O5rpNZ3ZWGD
iImaO90ZZdqInUIFQIUGU4Vg6WzfwKSQfm3moWEZK9pRWYXXqaktx7zJaNMo37qIOoYThxhKO9h/
OcDbtNxElkP92pqXXXU8uvcd1UBfu6SqNKGM95Ww+TbQEl5NWi+R4VirOdXPPFYqPP3MrcJGP1fw
BSZRZWlTfl1JBpGghbzzPLboPQc6LpBOd1rl8VVLa9DqY7ZfhKzHQblGfPLEz+hRBF5zZ9XUPOSi
Pi7qNTJNk9pAs8UD0qUPGDzEmRMsVVT8pkYZ3CnDuIzjMjyldETHRirPHKT9Fu3QRAtkU8LJSIl0
UuXk1YYrjIa9Y4PK6bQybcHdyzwKKkjnoFvdZ1sMbv2zLq1RkSV+N6y7MEu6ZQnICehCMQ5rhWrD
1K94z9YwmivPrrEmcwUtvTp26xG4EOz3c3mktYfJnn6EpsQaPKJtbxp9AHHQo+Pi53Yx5/AI0UT1
FomhnKm5ccRudGy6TB2sSCYlQt70FHXtKzaF7BBtQUGxklaE1Wvodd4q9eWtNshbd/C+c+Tg4uP3
q0EmGbYtsiyZR+ce4RJks6iPH/ogotzm+UtVDoHKuTRfU8+893tM+uC8hPOORlKhVNAsgLyZrSRg
siZK1LM4/17Lx4ruXkWutZKkTl0HpXWu5b2L9W+iTKNYvmX4OcWVeJv34XGrenhMFv1lWZnL0K6g
iqFPukh7Gb/FUs7BeoI0VIruPq2Rs+7ja0MfZmZs3CItdDEUIdWgMTrqdHNRBvEFYOKEmliPHXWO
hoz+wOZ6gW9eOo19pkBgFlfw/RdscMqy02EdOEq1Tn3cn6wR0K5ZA9wMk3P6hJDjXB8rOUQf52Vf
Mx86L0aObfTBhKAC0yPtmJt6NQkydTNWVBvjDl1dEpwJniprgtz7ssxPeyu2yJ+luRL0U6Ozv3G0
UKhSr4AwnrByV5ZqymgZ+AJIkk/DID7rFI7aSDkN3PrEjbM7WnD3nRtxRqTWXaX2Z1lPatsFDuVx
nNixrfa+JoOMErYUH43BcamXZxSaFnmnUssJ7EvfyDmjJfO2yduzsfcnSAx9j3XjuIiot1bacNpi
LrUayoHEsTfPEgUtSTNhI5QA/hoBVT9Dx30P8qw8njSlpk09PNdQgzHvwi5JLjQgoUhG2dJEwnhr
1voQzFuwPtNOVynPJ+kwzSsLI6SxXFWgS2alHH63OmIYu28urLzSlk7ZZkv0K6vTpCjJuLQOFLxl
sym5MIBcaemQUxNzujWLy8DiTb9BsvLYDKxkieLnkUO0BTkm10JzMrYOnemnTtj/pWOiR/brluBX
WoHNLoa4+LPXliCSsqZwt9FoyCk/Y+tI1AwLKi6tOAf22luGuP4FjSoMGXTdeeKIkCO9ZmMaZsW6
SgqnyRaYONKnf8DkE9jLn7CZGAsJJRF46gqgcl3w/N7kYr0seW1Zps16pFcliEZehUmfnTxPkF/L
i8sfIHyosKi2jkIuLRVV1sWNvPkiBaGSwgz1nMjQcG6xoQDLlVjxMK5A/dHV0eq00Y8qwADXqBN5
lOIV/S60yd3yLLSPS29wThRLyEtbpdFfUMu50oaMLMkcPAvt/CistD/bvjBtlBmKtkVrAbB/i2wP
YHUpxoo8rvDkzPNMnVOEw0nUljyXYL9yKbxEgzMXtBl5VqUPRqx3a4vs8xylxTyeKjkg5kXm9to0
boFCxBWCcCA2Mu1cbhUjOm3j8Lysow44e9pTqrnQFHlrVPljyqGEkvWN1RarFN9fQzIzzg2eAgoy
UGB34SRzo0+O3GEoZlqUYNVbKrN4KH74tn9FGXOtqPmPRmuvY8XjxNXL8JsVoQzieFFzJll5uS4q
wzyOA9hrTkJfalSxXJck7YceVkhkuL68Tmv0f5MWHUlyMgMFcfsMvPy6SisEtVQbgASx87JOrdtB
ke5jFV5QFvowNOraUyHLa5gCekjZziEgBfR/xCVq7D4js7wt9RphStNO/asKVY95Az0N0r7c3+uQ
dBhFNUMeIKKUqEvlMAsRZynM2j72JcxO36y9XThj0b9+N5dRIZUBCuJsA73qXV0B++bC8xA9W3MA
bToyjevx2pqAawddnK5cZQLrfI4K/Ryq6cQ41hfaXF250//RNx607Jv7QHBIE+RYlBINwcziPPt5
qqN73DVe5WdrQvtjRI77aeQVLnkN0QgdBGdetK62KFWzRJHBls88q3SPFd4RDsDJdLCGteNCU7XV
8U/cKZ1FpdJur+t84drjn5aBuCD+0RC4xv6uiHNropbFMLWqUJsBGFLJfujQGH4/HzSccRUoX2gl
F2iYwlt0VqMG/FNVl7puKJMC4a1J4EAXStIVBflZpqG5k8n5vOu8UxV9FzIExHVaoowkCasZi3jd
AWJaFp4gZGjerddlK0VLzkitsNKw86UcMdEsp6C6L4fXv3/FP28iT1JOpHKocOsO9SPtSTj2zSbi
jGrn5IlbruU2CZdsBDEPz9kuBf7cyJBg0Atv8/uvfCLP/T2rPn7nu7cp9RgLtAiyrgtPQyWZKAt6
D3wwa6UnzVlWuDQxTaopFnoGRkyxlybZgAtkA3NGwlEosO/lgFItijo/XLqGeVGcqZl5Kbvjg+EV
fyZdUMyKtMifYff/H5zJL7c429Sb+RNW5rLZlsPVtqIP+ZcSuvjpRUbz9ib7937p9dDbfaEXlM7N
kG//8z82j4haIeJZl8FDDXacYxskz98IHlEh/emUf7qxp7v+7XXiDddpHvkGqqeUXFVObPA64sO3
xBmWCc8/lpC7/oJGmYM2MvOH73ozRr8ahd8/4PNw/v53fnvzHwaBE3nvQWDzdRxUCXDu4sPG+PMg
qF+QH4BDq/CT//1BeDsREBIg9PnHz88D/j0H0JuDQYFLC/q54sP589PjE+5RlSfQAj709DmEQfiw
HITZ5L8xEmLCvx0K4lkbrob2/KRs5D8Nhap+UWlBWMJl5n9/InwYA85tXt4/ng0/j4EtSOMEuwLR
9/PDy8g/PYkxPU+U5686vB1BxOj7jYGufLFQv7LV13nAzPp5KPAb1AzToB10qBPhPbnq3zkb0MFG
Bpuo5enzfltkXyBgRKTSes42D28miONsv5mgkeoqnH7yrwYBjXFhuKIo6qEuB2Xv5cAgAOFEhQcd
tqeP2DB+ihLUL8j3KOhIHGyU8DxFnxP/v0KvfxQqOV9UEQixHn45CEDs4IC97D8HuBz2PyBZDoh3
KvibfpwCoLOxZzOe19wBPv3z3NxjCohjQeToqogWxedDeKAzR7ATMIU37UHGB8r+OyIaxDJGU/js
Pg/C+7NReFFRRIBEcBDRMg/8IWXgve15LNhfLHgShvoSJ4rQ8+cdkVgJ2AlJg/m0Wxzq4aDvHyZg
yaNiioQn+i/mA+mDY2uigvr8Cwe6NOTn6brH/qCZImykfKb8eigsG36e/XImH94miaL4nksDf0+d
kBHG+/MxKYoU75eGKeSlmDIHOhOUvRcFg2DhN6XT73j/9PoXWgCaTJJ50KtB2T+RVNkCMbAgcnye
Ce8ngmJ8IYVitZBtis+h7pHK/mU244uGBgVJxPOT7iqxiBKUoqmHuiY+GCL883wSzyVLV3RcC55n
/vt8kuIKVQcIg87zJnSAu+P+WYT5hXdMCUmncPf0ebc/iGIbPyOdPNSZoO4/CDYVR1QJMVR8/vCo
Px0RDAJsOWydhRLsYcbRz29nn2ABW0JDVTX6js+D8H45EEfjGUYtTsjfHvL2+BlxE00IMkfrJbXm
JPhpPtCFoNKGU5uQsDzI+fAB//7Pt0cLSzqBLNd/UYZnEDS0GxUQmgc6CC9vZ59FwSBYCJYa8kti
9X5RcEbAAxDZxvOsO7wzQhAQ9kwuTWFl+oSTeVr4HyNofA0hE9BKPtQyg7p3BK1ZX1jv7AgQQZ4+
7/cEzgjHRN0LEe/n/fNAF8VLXXifRQEvRtRa0FrYPRQq0CrQBagwHGzMsH/Zyfqiybho/RU0fNgZ
yDuhPnNa6q/z5TBPiv2HghhSA2VHoLx7PojwCWMXqgyHelK8HGF7LApqsRyUDpHySzbxIdHGFxZY
lU5SdaA7g7Z3rYVNEokzBFaIlV83wZ8DJ3RdVIwbbe1QAydRINnzuCROBg2qkzI9Lwfe9/tBoNhC
9m0f6nGpP0/RfZYDsx3ipIa9xvMg8KjvB0GzFTR5Xgb8AAOn/VMq9j3I0ohqvuQRH2aC8gWtGl3A
8A51T9g/eqTshvYkvtPvT0jFovTIJMDa4XWzOMgTUtz4nluCRumR5ott/gq6YGGkqVFoOtiio/q8
Ye+xJYDto4IihuElTNi1GixRnVX/OjwOcj4I87c95wO5AmpltOteGjPvC07k1jQkiCa05/V3eLsj
UsT7DoKBrywiRjzo7rBRYD2pTwNlOdRgQUg17zkTNKosMtYnL4X4j5V48gzAsJRfD3YQ9k8g8NtC
+ZqC2kvq/GE5iOBa/IeehfgcamdG2ztuomWL9JyAeP2iHg++CwdKmV7eoYYMgi+y36IQ3Uq6EgQN
L7nUh/kAvov4mQ7+wc6E/ZsSNGaBbxEdvYDc3h+XhE+UZ2WO1KfxPrwjQt8/gBZiKji+AvZ+PiLe
jwHlV4JLU6c0d6CDoO0/CNSgWQo6Lra/GASFiUAHz3Ge04yDXRP7h5BPRVjLIix6DhF3bAw06qhO
6oc6CC83tk8cTURAFw7s60uR5X1exREhim2klYcaPH5w2vjH3SmOCGAaJh3LX0CbBDMCjBdI6OdV
c7DzYf+DAgysKdOKs5+Do4/tGfkLPwQSJySj+BzsUHxK6c0gwRS9qtdHfV91gpvNOBxs9KTvn1ch
M6bji2iYv0LHU3XCiEaY3h7ooSno8/uFkFAEAC+pMAlf9ocdmySCUSDiDrb09kEz4R9vkhrwb9a9
hofx83H5fhCeGjMUXMwXrOnhxZBC9G7PmYBuhAU2nHzhfQka+DwOAgr4xwNdB8b+O6Lo1SpgGsEu
PX0+1OHhC0GTsanV/+uD8C/Mk78IylM/iB+fqMnYzuxiMP/qF145uR9//gZA/8Q3/ek3BVX5+cuf
Yfbi///Xz8zlJ9bwm5++soifvunl718e8eOX//Rlr8/1+o+rYFtuygd/ePrB8HKj600Ct/m/Y/7r
cfMe/i8qwq//tptm/df8//3V8QnYvl7oDSebYuXfj/qRw/2vXTzZPGbl64XeXJyFs/fFJ3jh7rpx
Zure155u4k3LK6ler/Xm3pnv+18fHdHqwyslzCKq+4SLp3W5+WOaVfWur2A72/srZtv4j3VW7hx/
9p69rz+P/5hlJZPn9Vpvxp/cbe/rL0qsrHZdnJNu74sv422avl7nzY1/xnJdNcn3LH6sP15egP33
vvWjJN+WwSZ+vdTfdy9w9PtfHln518u8ufRnrNiTbbljzAVmYu+7PglSb8dGoHzGWj3dRDv2MEGr
2fu2TzdVtd01Jp+xQE+z6o//Tr1tvN01Mp+xRM82j2zAr+PwZrZ8xhI92+AmtOPan7FExbWRi9xx
6wJNuPdrPdumj9lDsGv3EhC9T7h++bB9fL3Q3+MuqKD7Xzzj3l+v8+ban7FMz7KdY/IZq5RL19ty
O+y4889YqetNvmu2fMY6XW/bzcfY0cBK9vVZ9ogdz8sNW8Drhd68zs9Yohfx5mG7I3YUTd295+EF
Cpe7gjvRot/74lcBoWMVPO4YGdH43fv615uHkpQgrXecpdpnrNLrTfrHZIvb2q4v+Iyl+vwFZbop
H3duZNpnLFrxJbNg6+16iM9YteL6C1bAQ1A97PqOz1i+4juOs03R7DqtRIvoEyZT+sdpE1R/nH8P
qnzXc3zGYhbPcbapt7uu/xnrmevXmz8mm/L7ZlfMINjhnzFSfMc03v0Nn7OwxVNMy2Z8vd2/91TB
W9z/EfzNzpxQ4Db3vzg1jJ2D/ymLOaginP+a1/t8MzCfspazeLMrehDl/v0HhsBklwO86HPvf/F6
kwZVvGmq14u9GZpPWbqizLLjHBa19r3v/mbrb3YNjWj07X/x3zqGPmkQ7hH83DTsBDuOeKEbs/+t
/95oZt97/71w8r5X/5bFO/Z5UZHfe1y+Nd93RMqi3P0/XHpXWfYvFciPxdpXdcddf/ZzLVr8xkO8
3ZT/9f8AAAD//w==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6ED9890C-7066-4867-981F-4B7DBD7A0856}">
          <cx:tx>
            <cx:txData>
              <cx:f>_xlchart.v5.2</cx:f>
              <cx:v>Sum of Amount</cx:v>
            </cx:txData>
          </cx:tx>
          <cx:dataId val="0"/>
          <cx:layoutPr>
            <cx:geography cultureLanguage="en-US" cultureRegion="IN" attribution="Powered by Bing">
              <cx:geoCache provider="{E9337A44-BEBE-4D9F-B70C-5C5E7DAFC167}">
                <cx:binary>5H1Zc9u4tu5fSeX50o2JBHHq9K7aICV5HmOn0y8sxVY4jwDHX3+XbCfHouRs+lbr4egqSaVsaoGL
/IA1Y+G/H7v/ekxWy+pTlyaZ+q/H7s/PgdbFf/3xh3oMVulSHaXhY5Wr/Ic+eszTP/IfP8LH1R9P
1bINM/8PgjD74zFYVnrVff7Xf8No/io/zx+XOsyzm3pV9bcrVSda/ebazkuflk9pmLmh0lX4qPGf
n51lEv7Iqyxcft68Rv78/O9kma6elp+cvM50//nTKtOh7r/0xerPzxvjkM+f/hjfbou1Twlwr+sn
IKb8yEbMJrZFxfOHf/6U5Jn/etnAhBwRThi3YOSXu14CKx/i6Jmf5dNTtVIKnuz5/+0BNh4D3sa/
//NbeFy/jTUAPmDx5+f7LNSrp093eqlX6vOnUOXPr6vqnXz9qPd3z+/mj00I//Xfo1/A2xr95g3K
41f7ny5tAvkfQHZyeJo1xkrvA2n7CGFbCEr5C9L2NtKYMtvkGK68hfqjfO3Ge+coE0DfSXdgyP87
KcJstYfVbR9ZgpoWNtluzLE44vAxTc42MZ/O0W60R/QTcB5RHBrC6fIpr/aCMAXhjIgNAG4KbgTQ
EiIoEmj9wSOAJzP0DsCb9FMA3qQ4MIBlrfU+VrA4MjGhDL23ggk+Mk1mYUxGAE9maDe+m+QT4N0k
ODB0v9Xf96GSxRFm2DSx4M9LFIGNtbmGAVybWzaz6ObqncrPbmw3qCdAu/H9A0PWyZNa7QdbggSh
oHvfwZYcIWRTSzBzE9vpHO1Gd0Q/Ad8RxaEhvEyWzapaqr1oXywsggl/bwGjI8teTwNmjUD+CFPv
4Lw1xBSot4gODO3rZPm42o+hZQsuMLNfzCkEEnksqxFnFCPyYmqLTcCn87Ub7RH9BKhHFAeGs7tK
Pl3mEJX551c1w0fcZGA8r93l9WcrJsKOCGIUYiKjoMiHmNqN8/YQE6DeJjowtGfJJzevwIX659Gm
9hEnwjLJawBMwMLdXNjgSIn1wjetZ00+srM/xNpuzLeHmID5NtGBYX4XrqrncBgE+f7RkCe4VBai
EPNkL5bZliRHR3AR2Zb9YrqNAJ/O1260R/QToB5RHBrOy+zTvFpmj6F6zH8qzX8mtM1thLhtv4rx
rYVNjhiE902bjnT13VuOpkicd4DeOcwUvHcSHhjsc0gHZPuQ59YRp9gCrxq/aO8x7OuYp23CHzxy
vKZztBvvEf0EoEcUB4bwIlll2ZTl88GUFchvgiBoQsCn2tTU5AgLG3NqjuyyyZzsBnaTfAKumwQH
BuuXVbBM9xAxYegIc8tCJnln4a5TkZRhCHaSXYbYdL52ozyinwDziOLAcD6u0+958qT/+RUMSHPb
woxtr2B2hC1MEdhfL8L7pz3wknT+CEu7Qd4aYQLMWzQHBvRJWqyqcJn880BTAq4Tsc11WOT5Mza1
sQm2uAm6GlJY68/I1P4IZ7vx3hphAt5bNIeGd9bvx+6yEQHNzF9zzVt2lw3aWVgW2OObq/pkIj/v
IPyWegq6b79/YMierap9GFzmEeXPKciXRbpepRt2F1jU69ISTAlEyt5WjkzlZzeyG9QTkN34/oEh
e7ks9mByQeyLCKjuguTxs/jdDmqDyWULyD7bI4t6Kj+7kd2gnoDsxvcPDNkzqDLcR2rKOoLlCNgy
81032IJrAP140U5laDe2m88zAdxNggND93wZ7yFDQUHggk3FEVT3PH+2CgfIkcAmtqB4YFMiT+Vn
N7Yb1BOg3fj+wSGr1GoP2hacI6gJgTTji5OLtmUy5JThMrOt0cI9X07l6D10N+gn4btBcWgI5+rT
vzN/laz2IZ/ZEUQ6CLV/yudxOS4G3cwoFPfBMl9/Rq7R+ceYewfxHYNMgX0H2YFhf7F8gpKRPXjE
1hEUjECAkr+WBY1taYKOkAVl2AyPkhLTOdqN9Yh+AswjioNDuAr3IL5hQ4XgzAR4X/PJ43UNUUyT
YhDeYuQGXywnMvQevm/JJ8H7luDA0IUU3noTRVUP+1nDHOLQCFsvpvUOiKEgG3KPYmR9fYyr3Tjv
GGMC2DuoDgzx9fIp8r2UcvIjkMcgse1Xk2wssyH+ISzGbQIG+fNn0+b+CGe7Md8aYQLiWzQHhvcX
kF6wB+6fX97r7AS4ziDCX5f3VvkXOFcQEsFQ27sJ9AdY2o3zeIAJMI9JDgxl2MyXhSpZ1vswwTk4
UgiyxdZ7XjSGEu21Ec5HqvpjXO3GescYE+DeQXVgiF+ssqf8MdxLach6vwUIaM5fw51jQU4oFHZy
i9J1yefbQPaHmNqN9/YQE+DeJjo4tKtH2LPr7GFfM0WWsKCI7x0bDcIsNmy8wfylCnAkyi9WU/l6
D+0N+klQb1AcGM5gf346zZdlvS+fC9Q1I1DO9/wZp5lhkxwREAoXYndF58eY2434riecAPsusgPD
/jqpoc3CHtY4mN3U4lC5/VowtGWoITDUbGHCFuhNcT6do91Yj+gnwDyiODCEL3JQ2f88wLARgwkE
+P10tLcK/tARrHrYGothxW/o66kM7cZ383kmwLtJcGDo3gVLtY+OFOBoQd8Bi9r0vd1z5IjaGNn2
uk7sLbzTOdqN74h+AsAjigND+CLfi7kNGQzoLPHLBNvaRwVxEwJxMtj9PI51T+RnN7obTzMB243v
Hx6yelWt9hAmodaRxS3OKXpdvTuMLsu0YH2PWwfB+57M07sIb44wDeVNmgND+jXCmyz3krbiR+tU
JJQbvOdO4SOo68PMHO9m/yBbu/HeNcgEyHeRHRjql6tmuZe+YCCaLcJtil7zlDtWN8LQu4CNcxzT
OdqN9Yh+AswjigNDGCbxp/M6VJ+uvoeq2Efhrgk1fsQCMCFjtf5sRcWg4AQqP6HFzEhN/z+wthvz
9waaAP57pAc2C65gg6S/j0oyChX6sLfZtt7rEAYNAk3oIWWNC1Cmc7Qb8xH9BKhHFAeG8G0ITUpU
+LQfkIWNTEpf67e3VjgG9Q4tTKAUdLTCP8TUbpy3h5gA9TbRgaG9FlsSqvWX1dN+Uh2wkQq6C2Gb
vua2xvobICeQxYSWJiPX+sOM7Yb9nQecgP07lAc3AR4raKSa6X1odBsCK9D4ERT6S/JjKzC6Dqyt
/8CujleNvxFeWX6Et/fw3xpjEvZbVAeHe/bpAhrU7gP25zoVDl7aa8n/Fuywm4OAkybYKNu1XnKT
mXoP7/EQk+AeEx0g2nIFdSr7gNsCy4ysu0O+s8MDsl4MEQQbbcfh02cZP5Wr9/EePdlEwEdUB4i4
G678fQAOu2kx5DlhR+14Ax6HbdMQKrd/ToVtnT6Zp/fh3hxiItqbRIcHNiRG5LL6vp+oG1s3qFmX
Cr/TEQEC6JawoScCtJF8/mzh/jH23sV+xzDT8N9BeGhzIFRx2Of1XtKf0MkGqk5/9uYHU31j3y2U
kltQvWbChoER8B/g6R3MxyNMgXtMc2hI58lyb3kyiMGscyk/zfExzogJ6Ea2pcgnc/QOypv0UzDe
pDg4hLN8H61tYJ81o8KCrdbv5cqeVbvFoM58tJIhEzqNo/cQ3qCfhPAGxYEh/KWGBNk+Qmyw3Zqi
dWOi1/aw4yD6Otct1ikycySrp3O0G+ER/QSERxQHhvDduhH/PhoAQ/EwJQSaPb8aY2MjHNwtC9wx
qDIcu1uTOdqN8OiJJiA8ojgwhL/U0LM93ct5KbB5z4awKGD4jiZGUJFEMLbJ1iqeztNulLeeagLO
WzQHhvQDRCXrvdQzQAdn6PBK0XuHIT2La+haZaHR1o8PsLQb5/EAE2AekxwYyt/yZB/REjj7iEMv
KtipNXaboL83h3310Glu09iayshuYDeoJ6C68f3/BZD+nsWNB14fdPbvn+92Ryvfjx9SB0W+lgVh
kN1ieR0HwWBcw2kqu+Igb0/We8lz7OJpN6pvaTee8eURf/9S9nME3fvH0/066c9d6uXs+YzANyfU
/f7q8+PD2YYj0te62x0v7FdHqJOnPz/Dhiq63vL+Btn1QJtVuz+zDD9nxibhCqqM//z8fOIggiSF
ZVkcEljMgjHb1a9L0B0UExNyHLDHft0aJYMzAILncww5dI2EYtN1l3bo7gtUKq9fL2HEwTSHHZtQ
SQ67tn+d43idJ72fZ79ezOvPn7I6vc7DTKs/P4M/Vrx8a82tiaCeFeKvNjS6g3w5h/bRcP1xebvu
mQRv4f+ouq3L1OrbK5RfVz6b9RF337yUHXcATt/cYd1zHDY1QFAHSumgMT10gtm8g9XymNa8rq8U
i05D/mCgK2HeKHaMveu2uVR49vv7QQ/V/3DHNUdvnol0dhUOOKmvoqI2pN37Wshe5SSVuZ+rm7bK
7dNGm8WlFZueVNbcivpyVnqdZ850qvks8jPr7w624JxYNGhkXxbMxSqnktrBuZknD5lNYqeo0FNj
xD9EZ/yVDYAAJkzynEUy8uEQx6xPTElJYM+qxEhl6of+MYutheqTcA51xnTuF2G+8Pouc8IujCSv
aiqzAVXSI+Gd0dpOUYe3dtOcCZPmkofNuVF6gFIUytSzC1m22mU9lb3V3nhe0krPoMd5jq+bgEo4
IvMkQ3Uo48g/ywWWNTXuKwP7ssn+bgZ63fHguOGDmmGtFqFmC1bYp0FodjKw8nZuFJVaeEF/kdd8
uOMaiUpWZq+yu7wMrGOrLJwIZ+VxaQWGvhkKBr+o06rLrxKfnWuE+WWWDuYxU3pw05qW32Nkn1tW
e2Gw9Lzg4UkXtxeV8C4NFF/2g/UVJ8KSpWEICYc+zisSPjITPSVGbs5ak110BTv1CHWbuDjXXjur
6/6kp+E1Gkon80o37Prztu/Oa7vKXT2kyPHN9kw16GtZkxljuS/TbLg3k86XXtrHl2GdXWexXtR2
exkP8SnKYy67wkIy1lUry87OpGpiJFmfzFTE70vdVzIykD8naVGf1HWrF4lH1I0dlv150ufmXNnk
LEmfhNFescC+VXWFJQ4SLYOgmuMiPfWS8LrOjLu2yeaBAbDkXTKzQyF5qp94UA8SW9EN8duZqNNa
Bh12oXG0y6L+Rtd5IFXROFbLFm3VzBHzXG3ZMsXIzfP8bsjYdeqVpdN2qpE6iZvbrg9uLQ+fVG3t
2oX9F4szp+Nm9aVABnWisPqR0QZmk1jQNpPD4CWSIebguFmh1j/LasstGY4ckGAnJI0sh9JwZhmt
xJ5/HYTNBTOj49JMFx0yZwnPnLrzzpTKjyuzkWrQrqmMS9BxLmmNExAUN73ta+mFSEnKvHkp6AOr
lENghThlnLUyM5P+OG7N5KRKsnkR+rWkvXEaq+GLKtpA9om+DKv8LmqQG0UNTGsvEk5tk6Woo2XE
7Yu8TCLZRW3stKrqpafa1DG9xj5+FjOvyuhVrr1I0se86KvQD14Pxf3147++5Cn8fT5f9X9+uT5T
939+Wqzyda9fNf7S+j6/vgW3eb3vWsls/LCl9d7Ray+n9r5z8UNKb10V+evM3S2l93IKz7bGe66l
/KnxoOcP7DM3QeWtdSiC+MEvjQc5XBv8UWpBsz4TDjP4H40njqDNPQVPda0k8Fqt/dJ4cKQJhh5i
aB2ugOwRqNCfD7qBE2j7HfqIrhvTvNFIa53HoZs+aFdwjsEQoyOd1/RtwzTj7ZXumthhOv6aN/0t
z5tmlgj/KsVl9JiHTSbDnn6hmkZOQw3vzubtDyNAc2KZTA7UGKRvlzOUJbACuZ/Mwsr7XvkxdrqE
V7Kps1smEn+BRO4t2sa7sOFAZzco+PeahndWM3wNUm3B1Ne1JAVzujxIj2NenNJCgbrgQSSpyOZD
Qu7gXm6rcS1hGQcuqXssI7uOHG+wLnQs7qHFeCCz2H+KlH3BKu8Gse4q8NVxznEhm6a/IQFCc2bD
Wo9Yc90Rns9sSizJSdfKNIkdzyew/EuHlnV0ghgJZVvgYxx46VzoXM3iUNuzui/ojMbewoqTSuY0
Fcdewb5UQsumF25N6awuFJJlZYZOmPYnA46Yo7PAlj4aHkzxlOaeW5HuQqn0lDf6rxoNoVNEqpOM
ho2sexBAVlMH0uz6VYPykwbzOacGlwIFDz5OfSlsw0nspJSsSqUfDscR4VdtyC858x0/rx5yw/wO
yuGM5/HCiAfXotwpFT6pvfiG9DSTvmnd2vCGvJD70sireZsklxUTt1aIvsfdgGSHQDKbCA9S8PY+
JexbZItLUvDW0U3G5kWNlRQdP8OR/cVIaOZYA3oImyiRbRadDdS7L7rqEsyPM7+KhVRJsmJG8HfX
GF8KWp93QXerhTVHlvFXbUSPiYhMaZp941SFz+WQ5PaMqPIH7/s7VBuhLJm4AJjOWzDPyipyPfYD
F+YM9GEm23qYFzxXLmHhXR5Ex1Zk5xL5fDFE3JRVlv9NM+sbTdXaKOmWrG5hfuGyBJski2Wj83Pc
JE8ezEhR0dRlJF/gxDqtrf44tzTYOGDSkIB+MZW/8MPQkINXXmPUagl6onPhtKFAVkYfuUZQ27Kn
YJogET9EGl7SkBmRNANlSpaSW20VM1Gkxz1KKzFTOitOPb/1L0mdP3TqW1KeUFhz31Idyrwv0XHg
x6EcNLvPyz646dtKnHhxAnYcV92CNV4oUd0ypy5xNOvrwJShUfwwo1aL8xaXOrvxAi/qwaiLy+G+
MfMwlmbT2UpI34vZXebRInYMnz6ELMpnDNd3sH1zkF7PZJcx0xVt4yZ2FLk8E4u+aJVrYNt2dVsl
p2HB+CxtPDwrWvotb8xoNgyw3JIApnTWaguUd+WEpkkdI0xd3xbdnV10lsyD4KoLhieiOxmWvu2G
YTlHoKDrOMWzocPeLLPswI1tf55wftkxJnUROgOyv4YmmA02WK3aDuaW1iehTWWFejfp8uskrOdF
Y2hnMNRZXqhCGo0+ZUHmXyZxdx8z6w7eLl6Ugl2qqLruyvpexOK4oixzfK/9riz2kOf0rxTxRBKv
dKKEprIsh2FuteGDGXRM5kMaOFCpedl6jZBZS1snDpJz1A4L+C1xwJIFy1Sb3wrDKiQpjVlF4x/9
UN4XEX8oyvAiqdj3Sg25g1J+ZWlxatU5GFklGK20bLHstW84yMPfURfd2iQ7B/BKKaKhlTrm92nT
tLBCqHbM1g5mpe271mAwF/bdDjKKSzfXsJh6WHp8gOcMyInym0aGgb6NapACBJ+CcXrm1fo8NpPK
4YJrmbRWIL0mFZKGaSJrbkcuS/Ew82K9MoJBz3NRRnNdi1AWBbrMPGHMmqTuj0mGTwffWxp9eh7E
w73RUyJx1z8aTRnd9UXXOVXbHheKZTLtRexyv3xscxRKo0KFk6fZfWhbZ0FRPIYD145PUPqly6pj
IyP3nNSp4xWARsK9eV/HyLU9G8RGe8LTwnM9qz4uItAOhX4UpGVSpQnMNZXWrSkT5BvVaYVw30iU
+NkMfFM1V55W4m+SKs0v/n+0iN6aNiZUov3OGHobTHkJxDw71c9UP91/DJXL666YCE7XM18c+V/G
ENTDrPcjQdceG4JB6yrGV/efwWGqeL3TFK0jQHBwH5gwP91/Av32YEA4C8qGncbQpvwjxhBe2zob
/r+A40egsa4FyXoKHScguPjWV9YDzYuyrrtLWMli1rReUIBij3jsxLxtbizD7E+jrsniGUKx/qZz
1oAgUV0plcjKr2/e3g7TbN2qecwN1HBDn2foYsLWm3g2uWFZX8QiqJtLUmb40o+HzIO1mFuB04Ga
ErJpWf2NNwVoxCq1demUURWDOzcozhzYmJs9Ca3RFYwR1C5JEnw/mIaNF71leivcG7ib/55jshlr
AFsSOqVBeAOCKAICONBRbcRxyAPAtteXtDN9kETdkNw3UPxA55qDQwh2UYcjN+SeLQdu9aHsY0QX
aVP12K2aXD8FnVLYAb1lukqHOfhtaYAaCAaYsT/z8yi4jmtxmioRKBey8eJBBeVZnLRmNwuVYV2E
VdCki98/1TYMcPIngqMu4EhIsMmfH/pNAIX3ht8aRaIuM+2Jh9y3MZEsJjA1iqzurtuuEneFh5O/
fn/b9Vx7OxeheQ3HNqdwviy4DYSu2XpzWxN1PiuUn11m9oAvcRzUl5kCFWp7wcPv7zT2ANZ3AkcD
znaAc1sEt0fzrMgYKKQqyC/tArFl2eZVsvC03RMZF8EMlXUyOBT1du5E1GzT/zRp1pNi80FhokDI
jcE5unA8zPj2UDgTBn6Whpe8jM1lGtXmMk7WPJhDqmZWleeyRwD9ok3KlsgyzvlKJ0KdtKJn551F
K+TQNspjJ+JZek+rAuIigd33q8JoChcZQ8odU+SsOjapNdTy929vfbDYmH++FhtQpkfgYFE2CrAh
qzYz0/SMC1x76TKstPIlNmKdMXDW+8w/bYMw/g4WT3HeDSUYKjnrQofghv/QfADN3wc+d1geNauw
ovypMYuAn/6eSWZugUwZhUm0LiWEGnEIqG1OJ6uyQ1QFml5EEJvyBJhtIhgWne6omOumrp2qK9FN
k/YmxFmCgDsVzhaKVMUiYQVx4qRMb4vETDvJk9b/2kZpftIrrWVhlsW9pWLb9crMc+o8gohcCH4i
ROAilV22haGuSmOgM9/HIpLG4GWpQxrw70xLJ7ck8q/9PqOdTGpeXmqv/KJJalDXagi8yLAnIBtY
PQwStXZ0ngSm/c1DNTsNLBufD37XCKdFAUvhIOw+PDHsqk9l29uDi1vTcIeoeyxUqe9qZPBAthDR
nHuqrE+YR8iXMsBtvPC4gcGyDmLvO2ySrsA8ykrj7zrlqVsUipzEeVac4FIkT2FTgB1X0DS+C4XX
cdmUzD+tvKp2engPC8yIuCrbtJuxtirnGHcY3GiTY99pWnCQnYYE3ixVtHLrQlwFnuEjF+NcH4Oq
Ia2TociStubJX12KgjNSieLOpNpc1CIyyFxZ6bC0rbyaKTAHh3mztoqNrkNLopL2h/KLwnQGolEt
M580/rzTUQ6Lo21nvd/U9rzKvcBNNE2PM/iqBHEO4UGrSRsuIxVFhsO9lkPY1uwGyXTiOVQbWbqo
rHjms7pHNy3FzA1VhRIZwUzSc6pboRYd5d25FQ9D4t3UbanTVPZh0mfVU+AFhAzfVGt0PA2kqECU
54+kTyNNK1nrugYDUsfglHSnIiyHRSNq7Z2kVRgWMiJJfoe4QU+intIaXBuReBCBRqIDuFJwPjLP
A30I0b22nFlx6yOnSjT2roISWTw/jnveBm7fJUKfW0pTmFGtl2PVOjXowrllBJF31cDSsXynhJAg
TDgaq3SeJWElZFKC8vJmXRNajuFBAgssaQ9lzMmVl6ZOIOrWA3eZJ+lMeWAVzM3MTwfHHkyQmBmJ
We2kQWUkslG9r65VaKTpLPdD+4dRNzxELsqJXoTMru1L0/B87zSjXHMzcrJOlUN/rKA4tApmhR/w
dOapZijnolJZOO8TK+2PEQQOCsckEEN3eGf2yaIKy9BwAFby1SjSAbuwbTBOXfiHjKskQoaCV55l
X6M0FekJhVhFMosDbd0OtYYwc2TkBJ8FbaB4JnlAAr3wqqbI7kAZ09PIH0g8ryEUns1ynfjDzMbd
IBw7AmfwIrV7mNoGLJXK9TCuTytqmonre9SvwWNsAM6QK7BPsiGiwyqJoabOtYGB1KV9GpQnGIXs
2A95DGGgOC6pG+ah5w4QqDCl0VaFuI68FiIoNCyjQaZFNBhnyEsYRJI93wR2BS9muA+G/CQIcevP
YsGCVq6/J7EIBYRjS5+WTteGEK3SXWj8XcFxQr0hQ1hH5BIPWTiE0m6YQb/0SUvqS6sQfe5motQX
Zp2BSvIVj4FApBTelhcGOPsGuZUsOC37NOnmqjWH8AxrX39hETGXZuelnrQxTN55nXWczpQ1hMB8
jaPUTWgZK8duvVmIw/Jb0rZgWUR+1Nwp02q/F1VAISfR+t7Mjk1EZGZ7MI6Z5FE3z6oGXw5dQdmN
0ib+grUB32gtQ9mOxj3vZg1EqMPjqiOkPcm4r8hVaHDxkKFyPTmjqFQLnqhAXXc907aDyhawCSBg
k7q5AqF7BhpMPFAbwexOQUpWLnTc6/ITcJg8ch1VdRzfEjsT7KRjUVtf6E6vjc+g767N2LC6Wd6m
cOs8H4ZGdiTVwwLFfP3wa9ZbkE/AV5HiS2Zm8BQ1xM09GcR5PDgibmDpFAnEO26yisOSr2qwCny4
BjKVQAjtqsSsrzJJiwDCYkFbdfVFagSFkiGqy27eQV8TOuubkqyFBiwmB54IBEgn8NpO1ln6ANEi
cWo3YWhLOzBjmBe9by3bjAIbXRX1t1R3SJ35YOZGED/I4ujOBm2xUBnCl6Xwy28QorVKGbAgJKe5
7Yv6zAtyv3H7ipfglPOeLgoCr9VBvOwf4yQ2r7taofy4RH0Tf22tFIKSqWekEBAQaxkSlgkENC3Y
CTILSR+oeWGl4quBIOyYtoVfSs5AzPVVG9yGuVZnIo0j0zVJRXwQe3DquWwCIh6qyGj8WUIyWCaD
4VFxwrIcl6sUBHJ/Ckdswtpo1xJ7FpkGvNGuGZoZKJm2PMNVTSzHE4luQNPSBoHpXUZ/V6IRX4we
zPTTQegKP2mV9QrCZpg3J2FLYKguxcHgsNa3/JMCYGkdI4aY3gBxZH3R9TyBJIUqpc3VMUu7xjwe
WgvAiRFWw6JI4jy/yKyOnRsasXwWlFnanPl9W0B4xVRp8AUsEfWERAZiBEQnZHTiQLUQdmwbuwQt
0Jd3iV/i8C+cD9Ru5AAWWH9faGoIGEx51SzgRuyfGl7Rfg98ZDROwpUVn4QC4ZtOGd6wqOpShbNw
qGGShkRHkBWMk8G8TK0iSWRZNMi6YDhgndODdaNmbVAAaq2dhb6sBp6C7FAqmeGOdpXbJMSuFoNd
wuyPWedzt/d6pCB+oazya2v2+EsUVDDXQNOJB5jrqbrORIZBwJJCRHM7DaxWdvU3YtetjWUcN/ze
JFnZuq3pa3bBvMRubktPiQqUO8zoWRFSQBMcB8j7hVTH+TmvioBekw4l1onX5RASCrvO8C/iyiha
N1UeyAywxmp9kSQe8F+J2J+rwI4Dt+0QOulLBuu+h2R+KJkX7ClGchE+VrnKf+hx2uht1uhf//ty
Swjc5/dzS2Cu1mr5NgDzUoaxpvoZToGqVA5dLzHEKsBNYhSM/l/hFCg6h3IDGxqbm1DxSKCg42c1
hYAzaCAEA+XKwoSuIOu0089win0EniakACBPBf4Mh2MqPpBbgoqJkWsEuSU4O45B5wFgAQ5lXl9/
48N2reeDKvDYVTwUHBIgVp7S75CP194ViBmaphcGmLXHtscTx6iDu575TMYWK9yM1AjSqhZkXpIy
ntVCM1eZKTpGbRy5dkcrp27yJe4H36nNcDmUqnNTCmGBSlmQdPZBynvRdVTC2vI9PStSxWRjw/q2
+wEdh8JSblxjD0zguJGtkTazoNKJG1j6rM4KITEPvzbYuglptrCStHLyzs2aYRGWupUNSiEvHuU3
g98+5FZ+ohjE9MMkB9NFG74jQOLIsBqWIqpuLAti93UK+SWRkGuCdHJRsyGfg1LPXOIlOdjT5Q/q
+cs6qrWTGnym+1XbEdMFn2LWGNR3kzS76Aj7WmR+IZXdFlBJAF5URdvCiQvId9HcgJiKLSoHN90Z
HcJoRqphVdvevM6bMyzaBeZgoBT5QlE1q8DsJxFuwHKGmP//Ze/MluTUtW79KucFOIFAEnB5aLLP
rNbV3RDlphBISHSie/p/pP2vvb28utjXZ985omxnZSZozjnGNybd6H8bIgx5Uw6Px4291T/pZd2t
DMOALfIuFtBix7p8DC1cO6WaXQ09ZjbVo4qcdIC1APzjKByb4BRBLWL13Yiv1NYU+sFcdno7wCrY
hLw5EFZ/1r1QCVSgkztGJ3SGOqEq1/wAE667I7Pb5G9Vpwov631T6DtnHZZmWxO9wDiT7suyVpGB
MSa/eMzfzAJ4QunZL1EvNmBuimQK8ePSTt9g1vcJ7LQorsd5NyziQnUeZs40L5t2EB+Tw4EwhMsr
d6PHYZ3vyEjeoB8Aflhf4V9FCWe9nwUF/Vp682Fyi+VNiVZivG0wscPoCkdMi8xtdxXr7lA2d0EX
OifMsY9LibfVKNvGRRHe5HNfJqFYP+ADp1YMcF4kj7KBL+5uDT5IZSiawOFpHNAB1A31YLR4F1lE
/pY5JQZMjOoNYWkHrSxxjPhSwAZIoLivm3CqAJ8sxdZz+tdyMjuD2ybRoZ4B+4i4Cfo1GwrdAKWQ
+3mieRJ2zu2SOy/d4B5445O08qpPLBcF+nkviPt8iXE3p6hfOxXIIOGDOWjWT7HAtGHbkIGJkR+9
GG6amr6PfX7iaq1iuVQXKD3H5koJcRMdNUaj2PP9ManQmnSiFHE1jNO2nVH2BuGT2IsQypLh6woH
tlZs7/bFqy/95mF14EA4IoQo4LFPgSMeZs+Bjza9tIKW+0ZE+3Vuj3kRNsfc9C98zrcQ0x4czvfC
D2+cqL8TLv/W0PVS191OGlybK1/gDRBtUygL9+NothLNWGHLbVeJKJNzpGPcPfytH/u98Cp7n4ej
gBigNvU8HfnQyx901n+xCR8i31+Xth/7cv9Y2q7/6l+lDdhEBLQJKO8Vcrhq/v8qbdcFF0F41Sxx
IrhXYuE3pwB7v/EjlJyAITgLs+rfpQ0PlkdEi0VgDAFd+AH7T0oblpj+WtpoAAADz+CLsF0JKd3r
z38qbRSSpfbzhdwwNQ1yV44jpMmwlecqVwldgUGJ9TlHGfDaQW2nAn18KdAyizxmpthGucI8DB+y
G6Cx+gZlAtcjeOejzYuE1/Pen3sMvztWOa+mKOAMw+osbkgVFWdTYsrjDJBBQNY5lj06RVzbXxWF
vrZYJtGsha8BOkRwDc6wodPwupp6N3koJT4bb8tp8LNWO6iGvntcx3m53qfnqzMDhwFEn2MXNKbu
t7LpP6bV+xo6TZkaK0UCXuGhDmf4nDN9nRbnuVspjyFsphUcnGRco4vmy3J0qLznV7NtBvgWzzlc
YyAy+EP/wXJL8Rf7LxgEU+IZDwdQWcZ5jmMPekkbr8b/4soXttwKzMtx78I4njo4+ZFI82Do0smf
Fpow6c51rIXvD2njL9O+6/0heiclzcesnLt6J/QokmjWcueWgBpV5dh4oHOTuTmKBvyDOeu9UG3c
ZZF73xs7kvASJ/pSTMOdWFqCN6a6uxEe0NY2Y4vTVOGj6vMi7jvqxqKtrhyd9OK65S9m7TCCWzll
tKNhbAzOi+Hqw8+RgXwT5WzLg2m5w7VJ48pWYLamMRHoHw6RWusYJnx5zplbpVNk+4MoxmA7d8US
a4pWMW09HKCO8HHSSfvhRSbctqK1IMXyYke483kc8PXhia/oGUblx6TVVQxXxOwoTsII5GBsWyiB
usGl2mFuV67tE8MqdRv6hcxIr3ksnaXMIqIBQCofEsrYs20oMDvOJNpCYRLAWRx1G6ymOOCTg8ec
T/o9NJBWvaV0d7lL8dm4jhtrb5SxTwYMEPAfJC4nR39uoIfHpi+9uGe9gG/vdMcpMNOxmGy3hVEF
QxnJjm0zcJXhy6Mg1thHSQMK7lB8EIf6295dHBG7a+1vq6gBbBGG9LNbg2YAn3NVeMsgLuoO9GRD
xwxEBXHwW2qeVtqqz7jnINhWnrubVqmHTFTh6mazH86baGRd9aFqs+xCcMp3mJlbVMGgPw45QNSj
D+ygc+dHBW40VS6AVu1HcmNU+7Q46DvcNR9iE00m68WcsLF/dYr2GWFgMBRhNGWiXiHL1PAzKjeo
42Cpnog26FH78m2JVtRKUYjTYsMwpg2E9dXeAWMOY8ah7xkdtPvI8m9CjW/Whe5YhDACI+djqoY+
Ybp89Z3qoCikY1DGWx92WIK+9XqIRGd8FHsrow+D+9SxuC6GOnx0Q3bbEnFAYxHEujOXwKVfPB49
j8qZU9LNt8Pahfuw63Zm7R/6NfoE2DXPXJhySWu7bKxg4ZV5uWx9b62SSoOICGt9nIo+6UJxX7gd
dLkib2ILrevI3PV9hvAEKsjblUYcZJDfhD4Y2Nlv0wXoGu6Usos1LrarfKxjqqPycxVq/cblUO0K
fyyhgQAMnkFtHJApAEjDTR9TNJVRz3BmuVZn3G9vzeQ88L6ftpWU5aHQFreyKZpMLlOIXwlYyOIM
fAMChce5mYq7mkQABnC73NnrzbO6Odis64sODRNZlZfR1u2b8l4VXZOGHgQInDB221cc1BSbo21D
yZKtFeiuyoJ/c/Ng2c52qaDbltAyg5pm0Qp1n3fsA3Lwmkq67pehunF1e6z96sTsXGf+5Hpbf/JV
5qMN3sBcLjcCz6MDWpuTlLrG7Dw+s7SCel8KKHl5WXpbz79ysxV+W1HjrvWmycRK+0XMBZSLpcEp
5bY52U4a75R1UF/ECPDXVoRvnUqiL0ODE7fFUCS6VjTGMfW/Ntl/W52ryf3Xrc5vD+r6Y7Nz/Xe/
NTuIuMBh9gIfvQSWpl83Zv+r2UEoEUR7iGXqIB/QtfzW61yfRQgggmDAp54X4nnA/+51sDEGeBHY
ATQm6FP4fxSKAJf0a68Tfl8n5oMOxSDvkV96napzpBesnrip3ZXmZ+EN7G0mrgj3rNO6uDXOxA6r
bfkbF/C9dpGjMSRNszO9QhfrnyJBzUMUlWyFg2wns/F1MDz3PuZvyLMqyLioTExL52n2fODKxUoT
5SFU4M38Ngz11hbkxo78sVDL+1Ss7zDRKO6/e96HKKzc3XqqLm+8JcCUIzkMmzy1oH0Er7qY9xjI
i27sk8Jd3mXbjUk7ofpbr+jjHpUuXtZQwTMJN0qPc+zoAEeuhWhadABXp3zX1Pyejuy+LjlJJRza
JZ8va9gVaTSS91a3D43vvYmw8mODvmKjdWXjwlvBgJURbMnRlAkA4PuKBydIEC9eLTeSa3WqO3O0
Qtq4zb0wpX1AgHEWXQyxF3GHVd6PsFZbujZnH3QE6EFKUO0w2HU11NeJjlPcKQyWgz+jFOhCnZD+
z9agefF5OyY9cZvUut23Feg33JDrGdHbneorYLj1jki0TUFQbVC8EkrB34WeB7UAh4AAOo5fikxJ
MYZsV2r8iY4zXMXIPGkhvwaRvAupAEWvvgBNeORmQDUfKnrKWb4vG+eubFr4XiwQkARMHheWnwro
TlC96L3g/BG8agX2NPjKjT6ui3/fLCE0FTdUqdZBEDejqZBQmY+6JMngTmNMjd6q0pljD24wTA4A
sq1+qnivUg4gb0NmwPjN8KBhniTOhKoj3HBD22C82LBAZGTpwyHu6H6QvH4KazbjgLd36zjymPni
olcrkbhw/bRa7KduqT7n48R2XHQ2Bo69wWj/zL3wJUCD7nXkHSJTGcPfja073jtLuGnz9UbJEjq+
t4nyW1ys5kJHe1KRvF0X/lbyCM6iXMmmm0sQu5Ec9m6zHAeOy46w6mQ8k4Z1h1/cCZ/hVjsxRPky
IdWcJ05XbuQkL6ypb/yoOyKofjv2YRsPVwmiCOjG8ds36jipYN6nGvYcZvDg0Iz8ZiknRGm4PTpR
vinG1qR13j+GVfCZO/O54/abl9ePQOD2JOCnapRk74qAQxuK0FgYfA95VX9VZMIttgLIDWdl00bz
G7x5Hg+TeAHiXMXErW+8nNy2jG7aSH52HEgNBnJSIKSKa7++RWYjPGlfHBHv0M+CI0SjFuXFDrDx
o6MsvEw03XHucp4Edf0+5Tk66EXdkT5/QfRlQeDCgxgV0V0Urielh7MlEjIIJhFevw8+7AmGF528
uwrzisqjvWiGm165W8AnOx82w6bMIb9hsz2a6lBvFqlB+MJgxEEbL0wcYD77x5J0+q6fZd4f5pHM
OCA0YiGev6YRrMAdMOdnRNhVXBiYHnFbVv2mVe6wBVMMuUcbkzYz9a7G2sFxS3IRuLHAV5TsRgcY
htjY4csZgvl5bXVx3xGijhWt2HbAR5BNylE7EjgL0EoS+HGBacONRz6I3eCgxUOXiJdeGpdsnCqX
8ffq9P97mb7uP/67Mv3/FGIpX/+gtv/4Z79V6evKveszx0L45z8UhH9XaTzMBNWburgAIUh4v5bp
CBt4KVR3cI/40W9qO1Y6oqSGAeIfUMivGv1/oLaj8v9apsGWY687DDz4+270a5IjnIs2sqFA0g/6
5CFUET13ej6GWrUJs90Tr+u0rSBWaBOo9ZswfYtud1kAVADShpev7iLRaHDFiFcV9GD62uDC7suY
rBjkA0mcbalGjGKN2BRyFHuQHgiWNSjG8OIKjNpjqzd1ANnzYSma10gsJnbwkKc4gN1eJY3X08M4
O+uBNXoWebKES3mwSqaLlzu4vLuPItIr+D833y7EgEQiMtorW4xPDfavHL2Sy3Poa4A25UNjfdFk
Yb24m4aEZTp2jpsGY6RT468+VGpMmZhm4M2R6CiDbsjagiRs8IYNm5tLyCBTjr6JNqOCiOLkA+Rx
oaddN/UX0vcRohrtazcVp4VgdgNV7vXeGePtcVqvxQ5xSsw+uOGrMEwm29tM4xsGSu8MGV6s+Mgn
w9+gVY9IdrFWoEw4YENET3ZRZ++F9B/CytV233zPDJbX+CAQokRfA4Xt92whH645Q2HzYIz9IKdb
n0wjAgQ5+5C5nfbXzWVbq6VM11rfLlV/gXVy0EpcWtc7hoOzMf10cGqemhW+Xqtjt1oTVjZfMYHd
l0P0+t/DA4FdrOaCxPjXPT4WrCIMnVwfzvHHNv/7Ntb3/00440l1SD9D6MJTr74nt34+QABB4jBA
k42T4Pp8+N/suu+LXzme1QBV86qF/qRpYkkoJFIPD51HWhALbML/5ABBrOzXAwQUNVRVnG0McDa9
/hI/a5qg1IhSHTM3kP4ReRhmLyHTsmQzNLzYmwuyn3K5Uf6y17X2mjjS4rWOgkM9lhuQPFusgrgE
tt0DK7gBeJC5tF4SVQXmpMrA4FjqnhaXvoCEBLnf4+AJca+Mi3zkXX5TucMaN7KQsTZVcDcX/nq1
1avGzVTIXXRGbHJhrruXFVHLNFrpuAVcphLJEE3V7iCSkkSYwNE/kWJJSVhka25KGFrM7Cyf6tTJ
6WVeGmSEcVsm4P9ZKkBApuPofhrJkAZIx0ze0IONpDLhLrQI1rEvHO8zaa59WRsBxYA+gEARKCJY
59UXgEVhtuRGx7YWEv2M2KNPz/eqQT7UBQhotONuXeOrI2POdAI0FF2zFfC8uupT2dYydkCsJQgy
3xjIEuyqqUwr3Qzc4vHALUQc2X7iQXHTtGSKfX86AR9tN36b2zgHgZxqRzXJRN02iTp8prK156aB
JyQXozbr6Gybjh2Y9p7qaryPoGTEwKhYvE5kF/gtBGNZfh2Jfy70elm9ekxsQH1oA92LGpwktziG
ZdmcLAYciHNelBTSJs46D4mR6D96g7mnAS2RKo/vq4HfyRy+kz/1U4p2MWtpHW4mx3xpPeToPLe/
eD4U0tbZGrc+1ZjbEE4/+v7aJTXtjy0QVLxof9uWfIhDiY/GHRebUXh6vS6SvrLbtvXPARNyM0TG
SdqxAuhHdCobB06Ocytn059X2Q749kr4xCG/R9k8R40yWbeMc0JrGoAxgyfmGxBfig59Vkk3QPAl
z/qif5yjWWzGSp8Lmr8t7bhslBMC/vJ5ygb3ibbtW+W3QUpUlS7tAI6tLO4gNJ7IXKdAUi9tH33t
+NSk9djjM+z5vmhLEq+cnQbb35TfS6/5XoYBJ8odut00ks0TpFwwout47MuVnrWVzaHCMW2kez+w
7mvYLEmHY7zBcY5UftrgeI9wzHc47g2O/dKYw4wyoI26BY8o07YXFtIRagVH0Vi5Y5HHn3y6Lb8X
FQpH+8Hj67lokW8nqpw2xTXzPvkcr0vB5XTbKUAqfkE8flr924699tfUfG2jTxqpQIU4fed1iOAP
bD8hs1Q0661dvV0+lhMaanuHwy7uEM1HHgQJrBIjU47Yvt8Pp/Ca45fhcDQI9gckSPKleFiRFIRE
BolPXLcAeN2AG6UO9DYqCGLw120BPtYGqOv+gPa6ScC77hQw1+0CjsWVoxtSxfq6e6DGEoIQywgC
qj8MlhPU1y0FFOsKVl2cGJFXERGbDDD5IRDU5aBeq+ZzaJ38FElxLmdEyRbXva2BLMATackNRLlv
/grUyV2nb7YHQ1jz+R5ORLP39fhGTL1pKdzpMjgjkLmJQC2lNfYmJCHtKaTA4lnPkU3lhCR3uGzH
3KRu091GpTq6vNqs1zA7a/NLFQxlikZnZ/QSHQKHfQptnuKVxwTyzCNxmbcVDAnHtSVN1szVnLWO
d55xG9wGJrpH67CbFUXsTo1QmTFfeU1F4tIgisWCIcV7LdHj9TQBb/suWgAAw4LpnyuwS6FBC/al
bIJ70LL3Ep8J6gBJvAIzx6DC23rwNq5A4iQfJY2b/JrtXTGjoi/ZirYN4rJS2C8xOF9L/HdhiAQa
Y8VBseIiKk/G3JbjkTpEZ/hClx3z5vtZq5TUjUgLU5LUhnoXzW2I27Yr9rOZk9xB+M8/ChhxV7Ho
ze1XOMB1FxczZXFB540j2gevRBB3XbqkENxmc3lNqxb9F+Q0ysTp/W3HgjUe2/Zc9KzDVdM8WDaf
qNtXCQZndFE462VzmUyj9g2ZbophvncXk4GfWzaMB0fTRjuHONOjWBe7maz3TUZ2jvsguKtFgLij
Wv3kv/3Uj37qbzXTH/3U/y5e/pOO6vfCKRa1ULBPsH2vTOfvhFOOFS7ojRgeDvxznsxn/5cQLNNG
pCwKA9+lP3VUPkY8D3vBfB+hKyxTof9RR/VrPwWzGTF99G2ej6HR/yVz4QtcLsNS04uo39b+Ms8/
+m1gbX8e3v+Tjg2WNnIdDM8CQeSKBehTf+7YbN7TIWezvQBnz3BRfywNvai8umfd8AFQM+2qrkxr
Cn+FOHqPJQA78JyZDZom5g43WzP5Wx0gX9m7j5UVG9o3Xx2FNIQXnSzr5qQfJFhWoW7AxjB58seh
9W8AKxrAicioF/gQodq09bLxzbJClXTZfhZ9/jEx9+z7oBjTZSiDlNJSfW09sLwQwFRG4bvGHTKZ
LxVOcdQ++sWKud4MJCgSKpHqArJk4oKEN0ETOGgBu5eoK/wMQRxALZROt9WMeKzvmWFDOqjGwIGP
Y1e+Sc87Mc+DVFNjBQrkrp3SZqc1Fq90yJbkTG2BR51DUcDlWfWb4yIdSuj8UUsHOxCubUaNiK+l
YVpATQyqGvoUjvg2epOug9yEPQyNazBRL3ezDA/VOiNEv8LlHOShDYL3nECXHQLYVWCjrCzfB6QF
cE5gbmbhTqHPcxD6YXpKRe69goiH6BTs6padqG6B+HjjWUFq4rWfdU274wtOVUOjp6pch90q1W2X
G7RdqzgOpfvatN7Vy6oO1KGPgyLySm/BeF3pA9A1k4h+FpkNy/2i2jJmFWNQ8/jWbcs+Nly+WRpl
k9vB2CyuqMswbkA2HGZ0YxEdn6nxk0mwC+/5K1bX3MgS6m2do9nN621AxzPQ672B9V7M1bMYF3QG
0bRT43QSnnrgqIkYlNWzp/snkgfPPLcb0wH0WtnGmbs3Tocm7oZo6/j9q8GbRy5k3jpAGSRcATQd
SZez1JfzqZmqEHov6De6YBgZwh4hvAC6Mg/ecBdsqrJ6LfIc5kE/VBsHC5aCpv1YTLULhyqjfvNm
O/fVcdyHPsDMLsEjjHOUuEx9XmV+h6z5GoulOElEKLekaIBQOAGO+ihpGysStBtV7NZwGQkwWacR
YxauATuHc68PZcnX1GnImDL+UEX0xSK3t3FALMeg63D3VNODS6qjY5sQOMiEktiiy3EIu59DmBN2
seo4Am2LEWbrs0g1IzTuMs+mnl+KweNZyfiTy5Htjto8/IzUBmhFmLYmHhsU1BREfd4n9eKA3KrK
sbzMXclPLZb3pBE+itiXDaA8B/1gpYxIqUDVVtZxs2GlfYxYo7w3IfcGtHXAtzgDEI/w39B2x2GY
bxrEEPdIOlJkY+AcE6/tdywMq6wo7YmTAqttZKO3ZGXbHHEQZPY9LKKhqkFIpDVAI0p1E8Auh1Dr
9JDb8Y7zvPnC1uWpy/33QEL38Mm5EqROIgIBe1HOKZce+E9FGHBQNkOKNvWDYdbBrRrk6tlKfT+N
3ZQA0bmhQPhxsiRdRVM/IDYFrX8M2gAHIsEvHUx32vpF0sAdwhl1KNp8Bzs6q0YoUutwAhWCfkqc
XeU+S7hDvnUPE/icrZ7lG61yBlt4AFSY8yMZ3DnOaRl8bibHS1ZQpwCjkfd6lKSeNmPpb/0Abg84
7DAR4SqztSy78xrKi+81OwkqjbS8T1Tfx3NtsWNoYimOvL0HJywrfN7t1TJ+4k7zWHs1+EkY52nf
WZEt01BHOHMsKERu3jQdHJy/zgcafDddLMZ1vBxNu4bTG8ya2Li1yGDcjZUYtxpj+BZHv3jOW7yC
Z9Wjrv0S6I0bHezSgRqoiouOGGZNiJwABTwBtyV4ZC1ilzGtKFpdLOBIF5rnG0QlHnm+PIaarS/I
8pXQ302/YfDo4mCaN8MSYuR0R73F0goDHw/UPxxn+9KVKtzMUPwALpZIZQEOHXZ01PiKp2bjw/hI
l9q88rHZa9g5c7Bktjc37hIcZLt8ckWVjSUiJqYRn6zywKK20RGs+7g3TtWlJlcLdoQhdti47ivC
mn7qz7R9sbwhaWOgu0uBCz0oLeaQ3H/x5mh4yD02b9D0R0ll3eUH3feX5RnK7k/BUHimCKRzglYj
wmM9sM7nFznFq2vuh0WlEW+rUiTq9jCmsG+t/6cA7Z+/DhbKIdXp47b/tQlAihQ4rtCXWqlzz71P
OJVuw7p+w3HZIQoZ4QtY1G6cm40K5a73xEkAAQo9fcRJdWJ5H1fw80Ru73nrZr6AKYslNrrIvxnL
QUPhFqBreOFuAQHsXzrZ7Y+Q7//5ad/en/7mDLFULFZG9tb9hQ9ntTVQISVColhlUyyPboVUnTn9
/Yv8suEI3wOegwbn+grr4TPChf77JqnHFL3UEjl65Oh66NF07xscDG7eom6MIxbHOOMLEt7mTke4
BiN3P4XYHmGWBgeV796tVY3tZKBxrPCjB42qBKQai9oI1oOZCaXcQ9AGUN+lBKqLtXn4zD3cN7ye
4NNgg8o9I+pdDiohGFu36wSHqyc8E6qUmRz8L07nQZHubIJTiccLjUhiWsBNopNQshq0NoLv29X7
Bg7qfYaabhkWZsyBOi8YCuMACfWdS6bq7IqmjtcZC4MKghlSRNiPQ8riKbekfmwRG0kjgtm3brCa
DU7pjkPYHg1KHLlqYlhzkEHfucGiKp3OK/gQ4qtT7r5burEs2ONcfA0d7JsJoBwtFX1V12yiboA3
NeCofajvK0XrAWH/utfDmnR26l031AxBofkAl/Rdlp74gll96/K2TgMlzp5ZVez37ab0sYfGYhys
OVeXCLwO4et8bIP+x2KOv7wryZ9eD7ghQ1wOIR5ze33gzs9Nc+4jpIifDRfslXz3MaenazOqC3fa
PsZ5+oYJESJkLxLCZyg735c7qTM+FXBcQgY7gAPnAeM/wMgzM+ELFsaITV+zdmOtS/c182D/l7JG
3mAMM9fQegfQuUknpPxSwNfoR3AQubXBqkPWPhR1OSdE9DD4YSPEQ9PGumk3iPoiFsPfIyzSSEZi
kMiuvU/cW9A7L8A4B5ICfWoB2zsSCgt/AX8Jfdb7yoNZxs2EYwA8OtfzYx5VpwDceGv8B1CjuEIA
ZC3eAxvHs6zEQ1uCbQiiLV+Gl1BirEff6Ga8tegF2zHrLShFhLCg6VVO6mIdYwra8N3BNZE0kf9K
fOeFiLFNW+zPQMzK3YwrXHpnNhmh3dZ1q32kx8wzyBiLMaUSnlEYTscAm5smMvYo88DK1fCIMMMl
Cud9b5Z3cFBfWh/PTQ14hk1QZ2mh743yxoj5FGi+mQxNRQBPqdSQ8qLyDuKf3CP1nSG8mHGVg6JH
Q2N4gbkEN+PoRHdwqz7KwMlBArgJtVhgM1jIvD0yd8WQYKMwIsL+tvRB/YWkqDNarNBV0aFKK04O
FhFJMj0bM8SFU94ysImFMBtPOscaVVxMBahB9To2MIMRcgU/gjWZBFVT5dNmQHnXXQ0cw2mrVEln
W03hca1kHERItE2kmJLexaG7emRTEQAoU3ibh2RX6AFsZHvSIUPXOyikeBukPxYVHGgxHRuvgrd3
pS8BJxLk4EGAIYvr9JgSFAdtg7yxxSLCfLrlLAvkhD7mUs8bvmwM3cFXesbqQzB77pmzrsvmnJ4q
gVjdmOf50XpjkPRYHpcE4Ce30wh6Hn3DziyQyBce7LoRXUhgoB0FIG7HvCP/UNqud+K/V0P8OLl/
ulOvfPjPd6onogWIp0QQF3V/7M+1nrH7BKTsdCO7M8HE8vel4vcO6h9f75dK6gmhMV3gZDDmG8Em
hvn+GlApXia6+/sXum6s/cM7A/OD3BagrgCpj9+/s6kfsBDJHcERkaVAcm/ukzL3rkvFEGc1Dq65
eTw2TenGBtsBz+E1dcErg21jFXDVCf8v8B7nA8T23az9EEamfXJKc2Pc4EGhfcPUkwy99zAXyEXp
odhgi9ibruizI1RzX1g5Zkwg3l0ze2SVC1+BZAu2mCVo8bZ68INn7Hh5aFZIcz47WB+7tXzvuBbL
nmFvAaLCxw5lG5HKo/Sg0GKzLNIaCTIqz3XTZaXK91ODvXxqDsGw1O+ru7AEeyNe2znqnr1rIsvr
/eIfPtXfr5/58fX9/KGCiPv5ckFwTGPtYDhfwvlNrJ+X8J+2aPzDl/ZL4XAdhR65kMulDB+aKopb
/9M/XBZ//wK/bvypeS1d6RXLhXm3JWAvfEyuWH6oin9ZAK+fwq83FQCGkKMlJQw7lX//Kc1Bj3w/
xbtA4ssbvgxTjZ7kUzkH//BtXJde/vRC121ADNgDIyi114Uj3xen/BSRWKoSuOnaIMcUky8oaumj
2vwPe+exHMe1ZdEvSkV6M+w0ZYGCN+QkAwDB9N7n1/e6kEhBoESGooetN+oXr8EqFLLuPWbvtUMf
UpibeA9u6T7sTW88e75OvPh+Dp7yYHnmG93ttP3PP1UR3/DujfzwtX57o+/eiDMmTu2wtTr1m9GX
PeTeN8O2uIo3TuB4OSjaLZ/zhh2ci6Q/cPx6DPRT+fLzd2H83bt4/3SKw+fdu8jDDk9Xy+f+OO/V
wHL7jXNpuYCg3djfPhjemekXW+cUb+ZdeWPsbkM/2s47zj133UJ76nxGZ77jYy/bQWa5iNmQuJF/
X7nDSfaWrbF39tUR+cJdsbn5+Vv/yJB+q6Dfv/UPFbSkdkkOZorn0q3cetO91pv6VvFB4vmhH/tJ
gOrjUG0vX86CYW94NOzpIXWdQ3pCUOyFkDncL6F3//N39UaT+vFB/n6Gmh9uhwQ+VGuZvKt477ix
t+6KbXhbIiL0kNgj63Zbb3HzrX1qdupnBmnBz19ffE9+fPk/v0cfThuOGmnp6mU+yWsVWNN0XKXs
NA5y9YtLSZwqP3udD6eODdRwHNd8OVFTo0d9kefdZD4vGHjknlHU5ue/1d+fod9/q4/NpFRw+BtN
OpxiPBtLeF1HV/+3F/jQ82mznZtmQQOVGUc1ZQ7o/Iqx/os/zEfUkVTUdmktfNGq+tShta3VxxUU
5//t1/hwinYKMtrRSvvTLP4qKwLiOfV+/hK/+j0+PGADpouh7IrlNLGzTswTiByPpebPX+QXT5f1
4VQyw0haGM5xG8ympztlkOX9hQYqA7msl07qaWRl+/OX/NvfSyhgRIi57Ij1y/uD0EZJF9ZJP5z0
4mubbjItZsi3/flr/O1j/O41Pnxp8sjpJKyi88lIdeb3V0Xxi6nCr17gw5G4ZsWspVUznmQObYbR
mZb/4mN6ux9/9sUXF8q7CwOIjY09nOeY3sBtvOgw7rJzWgTv0HpxEF0MbnH8+acmgAE/PWvEb/3u
JRXmf0qvxtxRjwyGS05V9qUujp0nUFv70b1cPRgrpWsEhae49pXkXveBuNUvPzWX2oGuHS9JsPTu
rvTi7a/e3t9e5O9Ll49PTtJOshLypVMuxEUuuR10sn2peG621f2H0j3I7nL8Kj/TnLV3y3Fyp1+c
XoKb8NNP6MPffZQ6M26chVrCH/3VX1Y0hq5zzP1r52SeadvB/6RuQrdkYrtpt/XW9qRfnNC/egvW
h3tPmgdJL6e6P0nHyp19JpvpF2Oj+NZxeJ13dVCcWVtpK33FS+3N2+wi8tPXXzwn4iV+8mhaH56T
bNTQ6pQ8mu1m3jQu6gJR1e0z73bcz/t9IoqWU1+4D/IGtfmm3lqX8Lr9IUAz6saf81+clG/S1h/e
z59fd+PDR2JLDrsh4qZOTaBvTYAN/rxZN+sZMCb3JdpjpPLsPdAEtzqbPesusKkOyqDfZpubxBdF
wh/Fwf93HTWsEXri7yPeH4D4+6J+bZOn/Metvfi5b0JqKLBs2Q2w4QbjWLFk/66DVMzfFJm4Hxvr
0l8psBqrebby6CcdfvB39eQ3ITVRuQp4EdiLYs+OOPvfbO1pYP/ydDPfRITJihjlJ+m8tuN8eLqt
uEE3LTXL+ayhwd8ouFKs89rS6vCrzMrYADLXy33FOimRrRUseIaoxw2JWQiQemfXoRpPvl2GFOPK
aC2uZqovkdxhtnXCp1bJbtDNFZdLhvGuWU11oxlIqtAjdOeVaX6Na3DLGfsfVymF+28YQFB0SRv0
+DrdsVCMs3Xoir1U5j1fvSwrF29miuWlJK2c8AVoLg3PWWr22dExk9InKmLZtIZTs9JjKpkXkJYL
R0FnlSsODpXlkBnJmV314ZFdHd4kyclc0BNs6G3VxLqRGctmdqyYoSOS0EabMzIxrNpvZuRYjc1o
TtalT7mpXNTmXB4I7rhVTPZSYaFDT0vM2oucRTq1qfkylQyQG0j8W4zHX9c0/WxNCYR/fVQKppcw
QWrSPe7aog99mKTcPlq1H+L0tY9W9ZPaxozj877ajGbe+FaXIylcqhjXhVM6x1GCP25OsnTQ61k+
M1hnb5NYRSTUYj9qUerYrN9vCiVHq7bcQpkt2azjdZbt6soyMSQ5YQvUg9wiP65gna2ZsGTJ6Azm
JZPOlJiNnLW0scGYD8xVKGsZ3uBF6bdRIS1x7q5ta7YXMX+7EYZdcr4w8kWZFhEQQrPEv4QazJEA
Z+DSllAhoe7a1/2i3kps5ZI9lun10I6lc5GMC3PgarUJakHHpIUXTlhhzEow8Y6Kk52pleMzpFxv
dFzrs//2pf3v9JL5qv/z6YWJun8LJOz6px9PMPGz304wrCACMKGROcV+D8vFnycYud3IjbBrIj1C
rS22ft+U3DZnGymjqILIl+KYofr6doJZhHrYELZVkyCrfw1eeluc/XkfMnpBJs5Byb9p8g5MIUJ/
X8c5hbUyczfGi3xk5RIiGq3kQz4r+qFcAbR6qVncLWmkutYsndklwNzUKOAgpTz46JVdpU9v56g/
ZvZ8M8rz2RIiq6xxbLnAyKDKJevBSfr7iebEKrS9kZiulocVBIzuAsg7WJnB9Oai2ScrSUwF625Q
UOieLWfetpr2lb0oK/U3R0KSsbZluBi0mQT6wWbZlKY2RCB5cEH6fFrMkKFQri+Bg5bKl9v6VjcR
NTBzVEFARJ5Wr8w/yF/QI0yPbRk+5I7iI5tAK9t1vpFMzybOvjRk5WQo1kuTWok3msmjCRgQq7MJ
agO5YZNYxF+oj2akb22rxlk9aSA3Won1FAscczT8sbJ33YxUd+FLBzVyfl6q8LlAIyGLM8gACZ7I
ToKOOdtm2bxHY1RulHlqgVtLlWtH9ZdIJkhhVsrHmvPPRXuq+bD3X81QXU9dtjwltcHg3UjY9hic
InFkBlJpK9dqZ7W+Dr2VlZGOHgio0XaasqNiNOMn2xlbRKpVC5g/Hb1VtxJWTFa1yRdN9nJWz4Ed
xzKH5Mq0CDHO+SLbM3fM2G7sKqn9MJcWr+dpdtsuiwMGyTDlZBQopdwlx0SumKI4U3+jGuN6P61j
7FeyUHLhrDtfzMLarFOWfaraUSXTzDIfx64orrtWaS5jU032NiyBM7TzxFUteXWAmoilUtL19Ax4
RC2goQRVtWS7uARVhc+znUg2lDup2ZeqfJWR1xXE8VTfgelA9B9yKX2W4KB81e18CArhukFmNwQZ
RpylUIGxC2/OKFw6XUsFiG2nh/wzs+1ssPN02Hq4jB1PaoZTKxw/ofD+WEzj3UH4gZCW4zbFIqQL
r1BDdlZqCfcQNiJos5GbCWdRKTxGpnAbrXqm+JVwIFnCi1S92ZLILLN+9ynhWKqEdykTLiYHZu3e
hPyGxROPk2TjduqwPc3C/wTS1Bf6iN+n1v8d5jJV/j8f5v+T10lJX/NnFMEf/Dx+6tsxju+e8SHx
S4hI31BC745x+EPggvgPPpi/GnKA5IF3xZCjIXMiK4AW8dsxbv+mCZmB0HtQNgrR6b9x9P0A7YaY
h1yBN0iyOL57UzSj79rxqLWmNNXs/EJSmk9RAnluHfJnZTH2uVKUbmry9LRDYLEblEe+hVp05izN
abKRU4QTx2+BwQSCm+S11qBuIkPe4ES5mZJRDWyrGrwxWs5kSi1ToppNlP4+sdXay5X8LDaa3Bsl
EGBZ94TQHVqEon9h+dt5tVTgqDfm42yPX4DoNZ6dYY+TCTwylxGF1lKuAUE9ObgyTNYALHvPGpzB
0xcZVzGy9k1ZLZfqAgtNjfLjMBvID6L+URNmHMiiXyrZPHC7iQoTk0Y0duBjkGsa8YoF3XIuV0d5
GEP8QaktsC8xEWy51fNfzZRkmKhGdFZE7HnDvRb1m8XCgN4IqZY6zfdrHJ33Vnmsw/oY8zuh88Dn
U6jq9ZRk/hix+M1K9TxU1NuQfDXcgRR9qInIIuhGqCwZoD0ivXaFtiQewYMPttFKmIWWaIg8Y2yS
6KZX0/ozQN37ZdWnI1rFi1ojVhAHNdTspv08R1BTy2xb1JPJPWbAPphwSg5aqMKwsc/jSL3Xmo4j
PZku0KuYQZYNq68a2GlWB7Vb1Do0+NVwrUnxF4OLd8tGzlNA8h5RDPTzE9zijV6bT92iVVuUj1sA
QhFy0qmo7h0lLm8Y+dXZaxKtX6Y5vl41GdPiULOiz9rYtmlS0lPI872X+1Lezb2KJ6wNnQsd5/hh
cUImhSy0J8vc9RjlXTmWWeLoznLS0hV3QVIV0xbs+QPAEd9Kivhcm6tXUKjqTq4ioUci0mf9fV72
3zlnMPj953Pu0/D8N8Wq+JlvpxzFKigrrMtUnL+7BL+32/xPJrorFGqkqPx+lH0rVkndxU4iCJ40
wW8V6btTzhF8ERT3v7PU/pXtUBPH9rthkihWLRRgJqQSYKYI5j7MufOebnquZvkCWP1j6JRgsjJN
OqroZck3U+orA5XVbih15yQ8+ZsKnwjLbf3QVjRwUzk3bkLkwVnbcjzoNjzPbjK34zTc5PZcn7er
5MHuJTbKflFIsPTVYtppJp6aleQghwShxMKQSLriduhIXCudpfCsSb+byB3Sk7i8baJowOZcv5iI
NqqhvmsVvcaWpCWuSX5RLoKMKhFpBF5rN4uQo2it4vJK1uwtmW/6paSZx9CcAD5OcugVk8QaVBGC
r7yBxNg/WUP0Ehb2tFGXUg4iWr89ZG3RKEvXuG7ySwFdxm6EdRDRFQruxbL8MDF1L5JWtEohpLRZ
b4PW0b50iXnF4X2ye3BhdZw9Jqp2S1xM7Uup+lpnRKVwct7RZQZJ0+0HGPh4pZRd2DhfSLXhVolj
lKrzFVkEQk34qSijY7o6t0paW66x9pXbqvJtbaWUa/wRehALHnSikmWy8bQMHZ4Bq3u0AaGRz4np
rTFMf9LlSzvXFSTvyVUCNsWVCkR2h2VBer6U9VfK+oNslicbfvq4VNFeS7vrQRAiZkNmmNgWnWcx
i0jNHMlJnfvWms3QOqSBxTLRLa0LSb7LdnbVFkFSdvaFo9bLNiebFnZCusdd7TBMaF/VBqg1sK3o
SiJAik7GICtqzE7Non7NK2MxOZsq2ces5JzyuGV/WSLDg0Ef+QgZMpIBiGmLsuoixhDqybl9gbex
92BRUV8vFS4CzJOdUh2GVj3VKJG9AWuj2yd66yoDNlHFQPwzjxDwlOGzWcf3GYe71w7I8CA7+GB2
+NwiPty8BIpjd+u9lSygcKtnrrTtAAv4oJfSlWLXX/UYiWw8b4eGBqbMzNaT+1bbMxrBVF4c5t5A
w6RdLEp2oWvD7DkiU5YolQd5Cu+MQup25CViEZCsOwzr6JwV9SzEpO9KNg1W0zAQGWT5ulj6gzwl
2yZLr5MkCswh/4Rl4Nlw2opBkIIYqBtPNjAVH88jUYhyeW5QEkBNkQ7AtJjICoT54CyZX0bWmdwo
LzYuBSJ+lgfQOdTqCgvlboWf0wMoE5LeDOKaN5byacrhdfNZQ/WqQ680k8atVAA3ZX3ukMRo2tUm
jbWOSVX40ssTlBYqHimf4LlbVeVl6YBGOIP/7iBALxfjSz8Z51Ojzm5BmkgTtqqX1AUBT6qK4rL7
bKfQuIghU7L1XkGvzvtjrIPRzJmc81Z41XjDfrSOE2JKYATNTNewytedo31eeqe+iHQBt52l+QCB
XNpzE7aAg5OzMWtu6Flf4zq7ts3SwFGMM9bVtbDbhxb/yspcaVdYeoBNZfBTTcr3RQHJRFZLF86T
iUyzW2lRSaNifcqiw85HjHnWRVp1OW+vyn3s0Ogvo/kKvp3shob8QnbQH2vJ/+5Z4R7753uWeLOn
8bV96v6mpeAHv1+29A0ip55BrwanRkxe3qG8HExa6MEVgsoNUc1/u2zt35iGO45MhBAJSH9pKazf
6EyYJtGgiIG4/O9YXh82fFy2Nmxvx+SVZLJomBD9taUoIyK089FGV08K3g429jaOqGhbbToO1rhA
slC7s3kg9VKTV23rzMMlsjECoMriuSUM0+84NnC5G4Gj4TKIJlNzUz1uvCHGJpBKk+rHYB1dqxGm
mGkuLhvYp7GBoYghBQspeT2SY3HWGjqHtUN8gRRvm6V+CGE0efgmztd2oRitsnGHKPQQFQADMx2+
mJ2QcKpb56aq30UGHX6f2FcOgep+2SZXvdw+qQbRjbYR3Y8FZuOJWCmCVLDNZuN6bpbWwxySt8FQ
79HJqwcTgZ2TKWeTld9KRnHe27C0iVa4K9tQxpxDRE6ISHXVr+F5bZRI+qSi042aaNPLDeq7tia3
u3okWfykxZyUsTFvx5mChIfiiUubNekMLlOy+gB/UEwKYs7Z0c4ovMNmwRpbDnA6x0XAlS5acN8I
7gksj5loz9PAuTeiIsakv2WstEnN5nrOMKwYGN09SV0vtdB8Ufv6NhuWDfkAhatF5eWsm5slLvaJ
WpArbXWX5mDdxU2IwlBfHs2EFiiZjBpsLHyDvEwgsSVLB2zd2vbtesXxZm0I6D7MSv4arwVxDT2S
47hFGpWroQfU+QLRg4rD0NrNdnTTnPR4b+IpJ5rpaC4MFlVbppwCVqY3RCn0axr0Wj9u28F+hPpF
E9mU3GxVsqV/Ld2sqF4yy6z8tKeLUBsFgwJBCXLECnnZJQuwk6JIn9tWe0XY/zpVcrSLGv0kQibm
EZntIo9FkC65fq9Bg/UJKWOkGQpaZnMoDHOfGwrJLfGmtaNsg7+dsdbMCkONzGVrv/U7pTH0wTQK
YNn0xVmzqfVQ16ee3DbbtcEeZfUN3rqGvYde7xyT1PFKxWeGghxkm27vVCnC6tLOT8TN3DIq8xl+
BTIaZzpJ0q4U56HSRs2Lm368aXSlCRInmoPMGuDuEKngKeugBD24CFcz8mtnJDZPDQn/TOJ96Zhn
4dhR+WVopVld8L2wGHnZKVspTXirmP3KGyJ3c08mt+K4qIS8SvGLFk36VR8W17ag1OIqa/c1iHo3
7ifQaOsQdBjh8W6uF1XFNwX648wssr4MLeMsLmSKYRnZhJnyAZbm575XDl11leg6Zr3WvrTtItzP
ZnWaQ4a7Yw+DQK2+6B1E42ZJn7jWaqTGXeZLs5T5YExTdzIa/HoNRVS8Sltt8dL1sxppX8b2LE0R
fE9BQqgtyH4eg7EIn5aV2Ax1ac7DNVOYtUk3c63vSgUk2tLE91KUvWYDXxm1rHi2hZ/BYdiB8sdl
bcWYMc9vCSP76owVCLuZ507LrS0AuSjQQRWjmloJaY6a8kxSZ+NcKYtbKSma0zwS7kP8VhpYzhpi
ghglbwjDCn4gsq54Gs/HNrPdzsIHlzvJTdzyNBs6YJQ2T2NmrvzFifxBDbKsV1VYm5CTwJx3xYhu
YpGutaYdfJlXcuO1CQmkhVQHpiHcjIBA/arp9R1jWopD2KgkZDERaK4w7x7zqruRQxnzalJh2xoP
oW2ogbaucwJ/o21Thu5K+5g5UNoDE45v6nVDehyGEd5Pz7Je3SRTWEJ/SjqmxVGs/66G+a8mEGl+
/1wT3Ax9/9r+WBCIn/peEEANYxCoaowLxaXPFul7QaD85uisaagSvm2RvhUEIv8dChAiXTJNqRbo
if+cMbIyN2WZALM/aoV/MWPk/P2x+9YxQmKSV2WD1E7e3/sZ46iWat9IznJhAMTZoHEuOR1kJm6Z
ZofN0ZbT2XCb0ZAkzwipuif6arkwtlT4NNqi5U5i2TibRRs+ptSqA00hyzEWD4vWbVSlRxgjGngO
7PpK1XHFmrgXj8USGeBzq0dHlKgStWoJPsMlReiqSDA4g8/KcdWO2IOocUF0jl4pyt6opgBOqml1
IfyIEVlUAq1VrxgZ5PuxmAbohkYgi2JaEmW1IQpsiNmlTdYHZXdC/a0r9utEPV5Rl9eiQG9lU9qn
omiPnDz3VlHIy4P5WWUs6IgSP6TW1215ghY4+J1oA0L6AZY5iMBpEJjoXcl0DAXDAYcOAtT7Z1nC
wyVai2SdVAIZ0jPdWGgW6D/W2v5C5FPmwR1neqqOR2aUlcdx2pCDgm4mNsFR09FkorUx6HEIOQgs
qTkHu/SYigNEqBG8RDRGZAk9rwn5ZQkOjsmur6l7uA8A1NiXnWZLyxbiMzRBegMvlPHyNIR/2ArT
AsJAiG7aEKuwJZbkOCgOVvr1dbXtJDCs8VjOBonQrcWJ14H0KYdOTD3w6LXUSjsnwis/iVCSAaSi
SCnhhgxGkVvSLa8hxh2ABL2nEmxCDObXwYoq3xKZJ71IP1FEDopNIErY0nNbGA/Jbq6vYkJTbJGe
QqAZ626RqNLqZKuUhKyMan+fEroyyIVMlVVPrp3DTSHyCM61FxPUMhDYMpNOSZS64/YF6V0i02UU
6S62yHmxO8LC8ZCCehIpMBYlUFCJZJhKOBISERZDaEz2lh5DjEw42fgBRbJMT8SMLLJmekJnLJE+
081SQi0crruQGGCfDADcc5EOCUcdZFdW1tqfRZpN1Ec3VkgYClB7dacSedOHQE2gtrEOnYmmSxrh
3tH1Yy5NV6YSfyqRR1I7FnZgdOZZYao7kITEr0TOxVyy0Mwl1fCsGEgnmhIXdyucI5KKhdniopql
fVv1rbtM2QtxMgT9ac/1AixBH0B6R8Urh9SJvLACy5h9GoE0BPDrWhyJ5cjuoLvUau1LquNJ6up4
p+XL85QydlPLG2IwUq8w1k9508tuJxnRxjbSdFNHLPP6ED5A1VypESKINM1e0xXwAlS/7TpMGLRy
yXQpQGhTo+SmiiNAVlGSB1KdPZRT9aC08eKao/7UyulnSKVIX3p8VjVXqODWnMMNvYdCfMRsfrCd
QiZUxgAaXB9Ctqi4MVlkYFPCxSp96ptla6XVGXOg3J3wOrBDtR77FTNYFmnObqwtx+9IP9xNCg8e
oCb9Qs0qW/Ibsvu+vN0G/12LMm3jP1+L/1M8fan+5loUP/X9Wnzbr+kqnLlv9Op31yL7ON1k+yX/
laVp/2ZxcWg0z28iifdB4PZvKmA92uQ/dBfWv9m8Ae384VYUOjMSmGmFyNHSP8ykq9pYUT2F3YWc
a7cZ5ZfaGUc0j1fZTKU+iQotkskaUPRduiypX4gqLhT1XD8PIbR11DvWwmVEvuS1rK+rF9eWArO5
54uwKrSroiB2+LdKq4pJpqiVvRORH8ExfdOK+nItK9tVqvlcaqg9ixKiG5t3yZNmI/QtUaPmI5k4
bT81J5kC1jLhUVjjWp6l6pvzkUV4FLL1UUXp28HBtEU1bMZxxKipvI1LG2SbKJnltts31NCh3UdB
lym0UHrxSlTxPTGvkkjg2VVU4EyacSQ1oNVEcb4a0TPzipTx7oDQggq+bPcpBDRR1cdPreb1TrSr
qjDyp3EgG0W0AajywTvncwYZroNdRbcwrWwe5779MtBHKD2HuiPzC0G02Hf0GosEtWEpA2k9G2hD
Zt3+bNCWVKI/cRYDwAUtSxu1l4noYfTRJrB9Vi6YhYr+ZgBohacNOxu+2ijq9pboh8CxXKuiQ3Jo
lTjarrrSJrtRdFGJEisbVXRWnTXSY0EiC+qwQuMsOrAwmwBwy/YZSRz7ZUh0AHMxuSclvXlHEyw6
uUYjbfoNbmg60P9Msh+DSPR+US9rXkg7GEmCbJ3U20ZOD11m3erO+qSILrJYMhdhIWSK2PErMQiu
sVhDu6l3kzyqnkkrqin8LivNqaMVqZeFSilf1npf3lCs8cJtx4ayulj19oUaqUJRJl3ygD85VcLc
PgXtEmfKY9uM5y3xtb5k6+SxT9orI4dXpIrLputxBzedHe5IlH0GmoYDkbfiZRDJaCKGGwP787Gw
5cOYpp/q1TmCIQMqWsWwhKSzZlm4OmSmAH0UKi6EQBjlXXfq05Wvz3gbR+FzE1v2juiMmXFRcROu
6P9ndXhoNGufNT02WqM6gDbN2cyaxcbuyr0ZGXdI/+LD2IuMknS94d+czqhKRyIwqoqAK4bfb/Gt
Y0sOr8KGYaPN9JmyGZq+EuoPYAqZQK3MtbuuLA+dyjx8lizLjRdGynmX9946d9VjJJOmUsZxe5lC
8YSE1/hzuShAImCGk3LBhY5Da0zp6lTgkkRdlkGYp7TUSUZEztKr+45sC7dKzRiWz7CXV1veN3a8
txSYIibvxW1MjYgt8S21i+6yS/vVrZpyp/fkiEnklFR0pylpDuSHSUADDb33SHeFQw25xUcNSAWl
kM/L/yHpxmWKsKrqxjtlTo9GOxwqDTOH3t6MFhOktSu2sQSmsSzIdisz5QTG/S4RizOGeJeFPlxl
ZNjZ2XwO9uixCxEXZSM7nqJK7030PPos75auuyVbRnabAXsVGRQaUXbzWdY1gSW31aZYmHap7Xwe
ttoVctQ8AM0UWGp9UIehdJdu+Kob4ecEij8x5ydS2S8RYVH4jt1zCL7KHbL1MY9ZeOuNbQdE0H7u
CotoSgYkbq/Wt1WsH2eproIx56npQzYJ99qQQqbXzZIhpeiGEWweHNEf/3eFy4JpqzJ+/ucr/Py1
fXml2vmonhE/9f4KB3BmvNPBvLvCVZ0wCwfK2h/M2m+drcVeWUFuQw49YfRvpNtvna35G7e3Zgl1
Dfh6Vtb/5g6H9PPxDge8xjAYg7WDJIzEy792tpqkTgqK5+xCkfW+BZSZ1CRJjYUuPdhVZk1BYRKk
gPIvba4UxsiDWuxZNO4wMMhhui1LMfIhkbm370k1JvY9GW9Zv7VHeQaj9BhGKdDEvsQmh3jHI031
Akk3pJe06He1anCbTMV1lS0Xs5SPLiS3pxDFkWe02bGW10vibmOGle39LJXb2qhgjtnIU+Tpiwl+
sdYq/gFtrXfRbGzGwSbGqXPgcqdfx6pVA9ow2Pto6YOa3uMujIpLwpGY9shLTzaXcmFX4dVUpMyj
F3qryFxFrLG9G02hjskQvbHaRSYN7LNCO8egKMc2Ce7BMfR0V2tFHjh0fhzsoRkUTfw4cDb7pVFn
20hgX1cBoNdisJC0fhIlkQDUw32jKmreuPVomxd3FjB7pIcE7wjAfSdQ97KA3lPAzA+mAOFXAonf
CTg+2iPVixSA+ej8Do1A6McCpl8KrL7ZWD3x5qD24zfqPgRdEMWQ+EOB5EfBihcnboHVjAD7+zd2
fyow/qgrtaNdtywnCvqbiPdQNslBtySTiivrpGyjTpk7LuDNn5VG0/0BM7vVpOl5zPk5hIjxe1Tz
cUmtAxFiIxNuqacO7Kl5qRibttlrXnF7ddlZJcuRX1hIX+gGPcswztHpnHeSyoNUJL5R59dzXB5q
tf2kStlZOnEnN2pxq0XxFPSx/aLXzSUbvRMJSGim4t7KLgUPmFEfI+T0VBhxup4rhgzIm5SxTCCG
NZ1KKYM6PBSCfiZAxLOp2kGxRi/rPAHq5Lx2awEurgpmL4aAGetQjZlyg7zU5cybBfJYi+dgEAzk
YrmLhA5r6UvDJ9YuZUhRayKd7YQBofBtgVOWgJa4MoTlOeH/UyCXY9jL1kJccyaLu8VwcNwIRPMi
YM0y1GbLAN+ctQaC/TrrDjIDBzOZSSA1chVgQEe8Y6F+NmcIduFS3UwWs01nQTAflp3lNnglUD6x
hpV1vNCW9VqE0Ze8IrmFb5fXp3jOUim9HODq8QyogSIPljd0CwAMpaXKriZnY/Poy4oe+aXMvtsP
jR5voxRVKwGiUKqzQ9n11e1/98fb/SE05/98f7hiMvrj9SF+6Pv1gSyJ6AMHDyiieJWQoj8Hoyr/
E40X4CZLM9HXf9+U6vJvNH9o2sUS8w95/bfrw/kNab3IQOBGwlv6764PlrIfrw+6P1axNu+O7AZd
vL+/DEbruTPKKNYuulmXKQ7HPaGDcDRTTUMj0myY5+BpQ8JgvWkZIv2l1eyzXqgcDKF3ILVFZ60G
ppG9lVsiipBSuXXttR78GcHE3JJBrAsNRVUNz4tTfooRVyxFfs1ZuS0RXaiaet3A8kY0uCCGr1Fm
tEg0Sgw5MGisu06oN3KH62ZF0IGw/8GIYsTh1Tp75lxcGIg/lMkMnKY6WIhCMmPV9iucFg/EG1mN
SEeibA1UISWp4+thiowD1K9tvbTPNqITB/HJTAiEm6nsNDQcLYxui9IXo0cUW3iEka9MyFiAlehe
nMU7VShcarTqBF1qqF6o1xm4aqesaA65UMZMbfu1GWMMNUI1syKfSTiVvClqLlJjrA9z0ZOAntA1
WgVD4EwocBw5Ck/dmyrHGVZmNvr6lZkpZnvdelkTPtya4L8rlXx1N0biE/eyc55W+d5wJIpIoQOK
hSKoSwhYs6yJvxrLardlNOdh451c2iIIQSIMDU0/0Szg6nb6jERIjjRlu4r4tIZxFU04kWqaCFdL
RMyavOTpThPRa5IIYUtFHBvcTexeBLQZIqqtEKFtyrygvxRBbrqIdNNFuBv+JnXbV+B5SpLfuJGO
K0lwWansexENlxT211CExaUiNk4SAXKLiJKDoblsEZITLyeC5lgnLgGCF2fbixi6FIbY1hHRdEVE
SB3JM8k1Gk2b6Eoi7MgLS3eyiLVDAIBESdOkK/xfApTNb9qIILwE2cDGFuF46TLZGKsIzJMKTL1I
lJKDQcu1jdT4dlG7S0hXZUBM0YJkp36uBNAwiSFHLiKYr3Yo5cE7c9Sv4iNK1PLz1BnpXYmn2e1i
p9wtQ0k06kwsE8nPhKhilXDjmhoFDgmfcSsNO3tCSRpPOkMUa0i+ZCLXUU6tMBgxW+1kMJ+DkQcI
z+jSCrPmeofhrOla4dLU4i+AsAQPscg9c0zNq1VBFTNDuJuKjNDPVIFbqOanDEvQDqTh175cn3tl
jDd9rQws9/L2PFFmzdNm08/bxtyby0TQsWSNWzss9WvUifeJU/UQsfqB9OFYnZlAAhd8mXhXFiwI
YGFp7nakZ25BZ9zCAlYIq45IBRidAxsLM5imRXGdcSDhpGNAbzElIrcJ+VopHSSdlHJNuxtpD/+X
vfNYkttKt+6r3PjnYMCbwT9JIH1WlrcTRDkCB94fAE9/FyhRItnS7dBcEd0dzSDLZuKcz+y9tk+2
yl1eJwcnKa6YafqK4ly01gvl5LEv7eGJsconBdhpJP+JJEeNhHTZy1PPonLneR0xoA066ShVTzpf
La7i4zCYX+vUJeBhBm2Gq3o1eM7D7BKHJpIZaE+bfyDjQ0ae5/syma4tzwMILIgzWzwrRe6SniwI
vxqHGEPLUgkNWD9IJsv3RYuG3GkNazNNvIRanV/2SnSbjeGLWvbPlcnx4KrVwDagOQqpvY6pbTN4
gtE5tGW00XqNfBeDOx9J45BgrndmBA5ZO1wQff7Y24x9HMW88kY2EyVw+D3OKv5lp7IxTdkTVR25
aom6y9yh8Acz3CRqWV8K/EMMyRPEHaMXdGPz2YaASaxBoJvS7WciVXKLuIaRJUv3XpoO0FPrKQtz
ay9yhsvN/EbgVYPPZtzxQ2ebWFex4GtzkNkOdHNOGeII6IPJxiVtdTWU2k6p7d0E8JWAW7QAYiGR
5ieQmEyCRPbWud7OKYwzkL+tYtbbCComr6k/Zhp/tl5jVwi/Ff3XVjhXWS0JyyinfbekqpPS6xOx
ex3mocJdsLADp2PcZdc50GFNxHcZAe2xXeycJbG9J7o9A2La6zbxmiH1VE68O3yxk8iwO7bjqgUG
xJT0M1xWRdxjbI1aUi5d5mpp5kd2cUO52Kz/rY2+1UZLcsrf10ZLJmTxn7XR8kF/1EbkSZEEaTnu
b8GP/NUfrbXxRdUNGlqeOFbES1bk99Z6cZ+Q+6SyiKQQYnb+59IYFZm2hDjS+SO0tvirf7I01hC4
/SLZxljI3lo3l++CT/hzbYT2hTBnBf0IgO+H2mB4lrHjW7iFFEgzQ7va3mqMH61J8eEsP5CpSwRp
PwID8Oy7xDUvjLLb50myrgc3bAPHyQtvLRaTV7bYvUp8X5HCRLmTIvIYGSfKmw4DGJGUZgzxEd5c
TsRuoYaYmEFtA30W65yF17VaVAZJ1fatTHHHuMN06VkZ5UZhBFWMVroey7tpUh6YgN0bEIVXqk7n
qzYkZCjTZSzcA6FrtJKkU6NHtVLaiShRb6pEv/Jc5UEf2gKBG6KOsEsvhqpJEYgUXyeCalYx7D7m
Z1GgN7C7iTa4RLX9WmfJGFiD0QcYlT9gBc9Bp4Jr9kZ3Hamd9KuSmTMqKIdll2JOezkSahLL6Kj1
zqWBr6PX4uNMN6NqyIWGPK5WSECOzVA9xqr3rJhwoN2MwRsrYiTKD6mYZ0a9831HFuXQa9VZC5l1
VOVXXdUCEOk3HlnWEOPyUxXley2fHtKWcMByQIVt4eNRJjZ2IGAQRw/DSlHSDvlMuqtbpfKN2PaV
icjukMPPt6rYJXaTVJJ5qlMfKRAcYpYMnce0vEyglObqpKyBSs4o8SrStVXnHcz2oTC0aduFnMXt
qLEb1/fg83d931yGGQ5sg7jui7hu6orFL+vALU0iFxh73r3RsXttrQtafDRvJRMDQr6prMK3FAh8
mo0KjpqRrOfxNbKpIPmcZE4uoWAUejImsDA2lFeVuB0ffCEp2anha633yejGvXD5xa45D/uN3sf2
KZMGS+miuWWuYZ71Li+Pmh4NePW9JJibfknRxYFlZya7GIfoxlzbEqreoWKr7XMv3C3X1B6s6AND
tJ3a6w9yIEwDCq0aAOfTzkalJ6eqYAMSeTYmR4tRSDgk3OFjYtLaK0sMmqaeq9HQrwUEzZ1IB1Li
AUDK6JCn7MnHWn9FOWoFzF3FpWPo0meCs5lcBNcdETxUYZlvyeJtaoFVDuKpjNg5e126jmJez4QA
xkuaH+qu/L8geJYz4E8PsmupKsM8C0MH7hEmcL/aOipjHNJM8bTLLL9PzQ/MXjLf/3BuXv32yf4P
fvDyJZCw2oaJllVT9aW7/LFFm6pobBNsEJdp+9anV1N1V3j/Kpt+80EuZ/rf31HHz+avrqgfhM4a
g1wAgjh2HPe3bvvPK4omfXE/Mhz+5h3iZfl+RVlflrcCCGP1m3VyufO+t+/mF4bC7OOYi9nIkYDQ
/YMryvmPG4rAXobLy+SXUQK34c9vDUerIs7LGcgvZSwrDcGo0SWUIHBq09s6g/vKrFJu2HvGa404
MKwKeev2k4dfTU+eha714WUclsSZmaKtcgDhCQOsSrF6h4Vb08grGDznykjFndJIHQIdET2bpJ1b
KBNx8mJk1nw9FVO0rWDmausIhT58fqKZRKCbM41G3bZoZhby894MlTwh3KJzsvaZzIyEcfOYzfo4
B0ZvE0u+0QsybQ55zr70NpqhUWxFHSb6uiujhl1gpAbCKQAGDqRRsY1NtrgP6rVcUr+HlLNFjvW8
VdmLPmDf7jUcPpM9r422hyU86d48rrOe1GAwJ6EyrwuzUlrCaWf7op/amEBTvbRvhW0vozSnStZ2
MbVbDXtRdwv5qvHWtllll6Nux/q2dvjzFLFMm6XpwQ2oI2IV4EKXzr7ONEP9t4z83arMyOnvH9Hg
M/ufM57+z/8sJTEJ/FlKGl+gGmAt0H4PLv2hlDSZmKH9oyn+3a38/Tk1GcCpKmc4RzdF4/Iwfn9O
Te2LwUOKLdm2DTAXbIT+wXP68yVhUarCAOKwwJzoIXJaFCI/nuBwkZM2mwv9qqCrUlNxcqLUN4b/
huLX3eUq+Ok24jBYtCG4L0DB/wckXyFegyFDKq84fdJ9F5GCuLbm/pALJtmlTuygIh1ap668hO51
qtPq3tGx6FUsxH32KB2zay0lYcbyAiABqm8Qa7NSrGpxWjdPsq2A6rgxcZ3LdCxus1usdq6vV9lV
qQpsX04hVm6tw5ZWBqAVDHaYvLjHmjrWYy7oF7h7Ak5bJkppsQntYUPx3QU9XuegxetWOcB74RB5
Zu+t+DGfYjMrKa6tWxTPN0o+nhXFOhMJQ5yZpNu0XW/feMNZhnkEJEFjReRmKzUahoBMrHjVD921
pcwbafaPnosxLnJeonwisR11YQo0OsgmMNdNeLSdXGzwvO9s8DjbFiy9bzTNPWztnXDNyM/i+Mg0
9q2QRPIN0IUCe8AbnZUjnsN+GfGgvN5o3fyi5cQLzmZyabqQJwDBo8Q2gnqJoXG0+6aNLkpiMUAe
TzdO3W/BpbC4ol7p0NTzjeK3jLqCSaNu3SpTlfl5R86G4714HZJ7Ywz6GgxH25vpird2gLgWQjlp
54jtv7oT5gfVti6Uobf2CGZQQyMu1JzprMueXQ4qQBlrhGxr2VXNAb4hanE75+ZFFIURmzZz6w38
bmPJJkKxrSGoSASCsbJj4HtTFvNERFv7IGzEEFGLb9HosttW9ntSk4agMdR3IIuEHMjpIRPC2o7G
fKmPqBnaOBnIuWw+tEz/0GWmL9u7HSXrHrmT5qdSbpn3XuepG+Bos0+OMRe+nRXvRGM+xQ7cp9wu
7+yBzSNZ5+lO9saWIScVfLhhnOM1a95iKCxMyUU3xvUrtsKo2cxkb06+ZY/YEtUxJcpp0puo3Zmy
BufkyI3msjzS6mY8ZJnFen8iiDFE6G4aH1L19sLS4LzjeyA/shoeUstYJkxSU4lCENR6/aiJIE30
vVGZO2y3525xdbj1a2iLGy1VPl0yNlc1iSgl70ZmigPAmbZDziGDUhJBruQW01E5nMgiLQOFAaMl
UsY57SCYl0Xy2U6cdj1G1UUk1NBvq3GHBGYVm+2pSjDyd+1Oym5JKGEt5iX+kKhXSVNepDaPrFGk
V+ia0Fwq+zljGBxHcUxyzcTYfhAftpxychITMgJ77Sbu7O1Ydp/pHLH0YztY2NWTbNZorvYx6+C0
U3bg0F/HRH2ZrYnNXza1qyl7yczbQbbMOvtDBccpU5oV3YRPgh4GU8/scAEYa2mYu0En21CLmSvP
1bA1wIpuVMBekA9Mol409pmlDEKlaQAFVKhci8uplM9NmTB1ncyHrlPdi0pJzPpu4b9ErtmEu1KH
c/XbTfu36OhfZHE8NCxqNMTnnEPw27SlfPvxuG7b1jDDyZ6u5OQ7K3MbHsbb8oLUz5XyWjyy5d0z
2VqFRxoLLIzb/0ZyXlYuPx/ifPml4Kc81EnR/aWoa8LeGhS7n68G57UK9x4AXG98UUiZ+uEi/Yu+
4q++Ds0whaOu2qaq/sKZ9DruLHaT85UmTvHYrrLs04v2sm//y9f5+fb77dfJ75M7EIg7MXa/UEpr
BNMW3b0KnP/Y2FAiWBSbj//3z2L+LGX8/Yv88MP88kX6WFVbHX7E1bBpH9jProed+uEGLkq5C9Jn
o9UNUvBVvtF392c3yFbn4UJsHtp1uL5ODnK1Qx1/6gL+YVBu+O/64f/+/vTll/nri4r3gE0fYyn8
kb98f1k/z1oxqdoVS61zeI2490J7jA40sphvgDMenrXt6J/rjdyRhJEfUUtfM+3fwPzwv30r/8p1
lzfw3xeS6+x/grJBsvsXhSQf+H0mCSyHqHpEsQbKnl+YZ9oXjZcQ6o0Ou5FC88+Gz/tCDWlCZdS/
5SkuftTvDd9iel3kORZNH6ZIitZ/UEiiHP7pfbQ4W/k8nEyqiQYSBNsv76M6CkdLIU/kUjXLB7lo
9gbEewqlL9GubXOlzIuyj8vyyTLxJTAWrInpUxxEeOxLW2UoDuQbEHY8c0arSAaxsDkEKLrwyRjE
bmaT1WQuCAymKGr8zuzLdR16+CkWLWKCKLFf1InG6MYHFDz3HsJFbpViY8+IUR1EjTyr0a5B5tiJ
8TGU9rJ0rG6bchG/K8LbaWr0XiCSHA31yN7tXKox2rhFR6k2ibaZLA0REiLLDDP+tKguS+SXuB+f
w04/dHbVHuPFnDNE2SaqbWKKJJo9lpFvNmy1HVlu+PdGWI5eOX7apf1JP54ErONwtCAI9UbjqdBL
9Ck9AddkW73qQ3zNOA/nRVK9e0V+mVpsbgxSQZTYLsuHMSG7gnN0m4In2FrwZtiubKKSLUSIU2+2
8k8Qk+txYdOUWbU1odU4jbyRxHnsAKW5q3ywonUq5zlIhGKve2W8dGJprAQEHAEJZ1iQOMx+viVB
lsyXAeYkkHNIGNwbdveSL0id2gCu00PZmRfcjqtOD/hCyE8ZW2hfVTfO7I64Er0TA6+vcx8v/Iwh
WZMkbfrlyIbKnLNxmwv8xbVIvH1VT/G1ker37FFQeC7yKd2NV3OUGs8zKdGELHlef9fbWXTusJoc
ZjWn442VdIeMay0ZF2v4KikySMwuMNiuUlU8LMZbVoKAyA0Fsx+mJpS9dsVsuOy4PpXyKkpCxtlI
lBhp3DkKeiOZoIvuaYwy+2D2Bb9iCHhhMj5WlvhwGOCGChEyhVZDaG6wDTlK/2rmLfZK03hW9OyF
8hoeU+RsJ89EBRQnO13FtuuQHjz2MxmFBtCS2d1MRRqMpEUVWXqyQ+dC64n4dafpNp+LryoymzUK
NHtlE8Xjk9FurQYleScF6MnS2fLF400Wd6dpUO5wc790XJc0CeRj9MqRpMOzaoT3Y5EcJ4know71
hyg34EM34V04Oke0O4iW9cjcGBV1a+p650I3n0NH3tv4aFZZhPFkVCipHaG+taZ3IxuCBapmo4eL
qt0ZLqVm3hgTP0sOXqRptb3tAjN33UOEnry3yclRrLdo6h6WdiUqLJQDFrP+eWc0+apSEQCn7fRk
9a67TSJCpVPBOoxjjrlsraC8WNab4TiADRTNU9PmB8MjksjQ97E6P/QFq3jQo4ZfG3JfoXDyecMi
SlCyGzb3b2jpWPOlxEjNtrvVSUpfs4tz1/iG2jVwRoRZ3rybTYzf2MWSPfMVf2xRHOtMrJcTl1NK
KxHQDVclIVorHf/Nph+m60hFa62p9U7lV8CZdG1M9kXSe+/M13hvOfY9qsgLw6wT3+jZNIMUBdy3
HHFNPEO6Um91r9hkToz1uoLB2iITAdmb7XL8ylrW4T/PO9tnGPXYz9EtKso3J2ebGOnuRTrE4TaK
FIWJV3bDyqRBIpFq/qQ7b7ogSUwrMuAWdrWeDKKyckEiNyfpJmWb2XRzeJvUM+FNjXZXiAHPoOaI
9ypWcAoOAxFOnBFCPDKuv2y8eJdb7teZEnjdYclHJqAi20Bk6IvWUrwVfXP+mKOHiS5mslNWnT2U
awidR8tt7rxFQtwsYuJ5Ll9Ie/ewwg8G+dfzUzggJnbQINudUvtz31yRUXuOUSkbqJVHVMvaIl82
iubAKG6dRma27jvrGrXyRe8peK8W8XOCCtpFDa0qDbqgRSCNG0ulku/vDLTTIgS8iZY6WUTVKew4
vpv5yVv01vX0kFvymmjTK94P/BJQZucotGcLEzDStGw1qHjaFhn3klVYoOvWbJRz6LxNdbwvmDmG
6L9tdOCVB33I5f+Mi0TcyWzaskU2Dv9XZ6GPlLxQkZtzxgZSVLsCtXmzyM6dvOXYsbFaLZJ0axGn
o1BHpl4l+3kRriup3BffpOyLqB1Rkr5HSiACb5G8l4v4PVWJfyf+WyOPmzHBIpH/tyr7TUFHhfL3
VdkG/UHxVyUZH/VHScbG16bwYR5HaIK6JCn8sSZWvzBMJx1axSpsuUsA1fcZvPOFPzsI3r6N775V
a99LMusLg0Lo2pbD6J7G5J/N4J2fh26UZN6ypsbIxQSeyt74pV1McwRGYxc653BsD1FXD8VFJ/WJ
YLJ8qKqFDd3PW1dCxs7jPBofSi8GJFh6BQqVLomfR6O9zeN6CmJg877s+i0Az4A+nMmEWuhQNzN7
VXrJG3p3wYNqifWkELlWzNYZESFYpkx5LlFhI5l7lH2ppdcdmrVb5Ew7T46MskOUEzzJkSqUcxoW
rsTqXCPPUqLnqeriqzCMhX0VZ5NzZRUuwxZTYlhZgUDqysAKc7W4sx3F2IScU3LNMjPsLmuljcVD
z0U84BuSj6nuxcCO0nIn4iSZuIKbC5mYB9lbN1ZkTmg+igd1zu56E9VLGVfv+sI6seMetuws/GZJ
MNaMt7ggZ7JRzLPd6+BLxoc+FpZvUBAqgxIoOUdAtCA+zIrEU3fCq9QW4IQ0M36EKOEyJ0qBLli3
qSsvk6SygkkRH7rn3OW9+amabNDbnF+K5XbXDpHBPM94OCWff6UTiPwyGRH3pBQ7dWZGUy+jtjxz
75jo65uyABxWGEsobaLvYlCMxTA0QS7F3ojZy1o5usSicVB6gxhbk1qXcXBMBxag16He5z4mIHb7
pr5DL6/5uktSnTeN+h45N0PCXv1Q4V27YM99JbRI4nPaLYqBVxL4jrbnHFvDa3zhon4yZg+/LSIg
L243Y6h8WN68ydQRWnd1jhp0Yugfg6qZ7R1RNxBiw+prVzKZsQUy8F7J32XsjYBqiyfe0h056IOz
w7Cebnh7XZta3cGRK8+dxZbWnMOrzGOMGuEEimLtJqxwyffcqCt1bCwfRSPUMi7d2Cqf+kQHjRV1
h45XsGPFbNWx2I4WwnRbrcv1XBAdiVxhrK1Hre3O2BXukq7EPq62D3kU38RmLIJK7YmnXszqNsvr
IW5uJie8Q8B1PdeEGRIxWQWTJoGGCzEFWhNe9ViUpyxUoBwr702txMDaEfFPFpfUrHkZxB+IxpHV
Qj1WiSw0p/lQVlClppKQQNdCoNAXhp8PWYfgUJ4g0HxkmTiI3gXw2YoLOyFlFhD+cSoRbqn454F5
1tAozTwwteS1USu5mbzu0mvMp0GJVZ9HfVglU277cW98zaeebN6qvOnnyu+IQp/5zawcZ5xXZlEi
iUuHe13OxU4xeXeGS0nXZuIzm/SZy9F5sqR1y3Z43A9lytS50fe0iYT/ui4xtwhAbUxFvpqb5kbW
yaWIbGin6U2eDWdk9wpD38WXmaRrkXuI7wuSNzP6CVlJJtPNOK3qwr6TGmhptVG/hrr5ohrZO5vv
fS0N7vmoo59Q9E+zVR7axPH8PM8fctnpa93rb6ep07bCzp/LyTxaSjlZuNBRl5gHxxztayNxKycQ
rUpec1y/GRKdgm7Bx1xsj71VX9jK2K3nlO5qmN8aQ3+uXc/YeWrBQsBzruZ+KAIX60BgNgg4YVIV
Ky+e3nFOsb5zutu4IHfWrdRsN6nltOqdFBN3bLxUtnnb5Z3ry9jFL9eHMmh6RshJBbGuECpBVtit
mOp+DjM70cKiskz0IRhCRAhEDniwYU3s3H3tofGgY0On+c5onViYFjiqGkrrLEbE/kNbE6Kq6IQH
6PWNLChgJhcmkjYP61QUI6+TwCtoTIHA6oCXIK4usFDspzx8Ie6ReBPFzNe6gyp0NHi3Vk3ybjsF
XViYzGurCDeRaUzknDb1vqzMTQpAiWRQO9u4Lo0f5+G8LZL6pXGtTdEoaOzCbUnJfh0rwsbdIjz8
aRIkYJd7G5w4JIfh+722AS1snFrb15FxShwB9SlP3C19Mn5WNON+OEzTgWyGjxQb5wYGonHQKwNA
UwVeJx2jYhcXxXw/y5zXRk7KxoJvtVIo7leRDtrF6oa9kYdM3zWXQGxrOEaZdwi9+aiIGZeFRn8T
pjCZcnLgYufWVRz7NLd0enEPTYr6/4pg+rtCZ/GQzlq2wSoqVn2sNKR+du/k6yIDJipjO7ossCYN
3jr2xZGw1fiqE+zbAOwFaSmGbVXNR6MLTxhgg7RmTAgDfG0kNaBMZhQr4TRnz0reXQBgWRsykHA8
2lRbsXAPW7gN3WkNFZux81yzX1Llg9anr2WqXGWNuE1xu/ooN+x10miwFc3qM5udr1GumpvOMNug
ESafEoVwIDP1uRJ0X0MvzqHXA6fS1CGQdRP6ZZgeC2JKd8mYRA91nGFaDZ+JrKd14dF1MpKk8u7Z
MhQgwd25+rYN6fL30NK9teaxmvDy7AGMALs+wa5DV5TrWYX6qWTiQoO5jmg+PWa4Sn2TO9VSBg4w
Tfsc3RYFZXhywynfIko6oFb2gjpVVolVPOZTcx4LkCf2lANUQLLDC3qoW+2IUulDqdyvcqR9tJmg
FLWyC9vkk+Xfpu3Lbts61bqt+FtZKg9qop7m6JgTVNv0Dqym9NXrk7e45fAdFBXtqbNHFL+8a9wI
wVFzmFtJ55by8uR06gmjn3Hm/UyGKG2xbn4acJ5XrEFvRRLxjznACQ45iQYpnAmCFwqaK7ZUbi9U
YHsxlpuaSoedlX2YrZLk+Upc2jUpOZ581Aw+eTXC+giTY8rUamvk3bsJ1S1yoH5WcJNUJ4cdVTyg
zUPYhgzBijUo+a4BsFXcN1LSjrYgghX8TRXZJIAh2KLa9U2PdILpnKWxFcy3KGvpS3XUBZrMV3QX
gEcAOW+wAzD7mVnwGQ0jiaHmR3OJFI6pO5G+CRD5xlI9NHvHiA9ySr7GmiU2kXRhXybbct62EFp1
d9tMRaCNJ1dJ7+JsYOVrmrnPGnybJAM2c4dCxpjfDECstozeXFucwL00lBxqzItVv+KERvGsy8Ti
Ih6aI4/PXbRYA+nfHjTwqFCxgIw0a3dnRNlOx4MwdGkQukZ1XXwzG6rEoQC7Mi1NeYyHslRxXxVt
c2DnJ3PmXpLM6E2ZDcp0PfHqFKollMAk+gMWHEkpgeulhxIz+GpMFZ42pdnOHgF0TalsFCepgiJV
5EYQu2KSeB6EA0BdV0PP4Q7QeaZIW2d6cm80xa00QcywzflaJ82jKRxCuim8lBD1GqbOfeyYr1Ux
Xo3Cs1axU6VEj3S5T93V+kREE3YgF4grgxGuE+x5uL6gAXGl8fotrx21ObxPZG3xqW6AbGeVGYyd
cx46cen1zmkJriBjO3nVvCmAwXHS5onqpqzeuFtwngDhSQv3vhUCwmyvfs7hUGznRIWeN7g7c+iv
4AvGFHkzkpcKx7pC5I4dFh+NzHeGHQMrUnFU1hBUzDq70cm7LTpQgFZeyh3n7smTrEkni8sOX8Ou
H3iiE50viKPfT82sXbUaa9sWuwn+j22lU+3C+3xJa+Gb8WVaEShhTSs5Gnurwe3guSTCkyzAiLK7
zK3kAw8NKxMNoOIkzmWkni2Q3FkxnE390mZUpwA6bRqFUDe1fExltO9i8dw53X3llawJCfl1m+1o
O0uCLz62/DzV+ouotB3BdpyMebSfJ2feJ332wjd4Hy+tvUMtuI67isiGXHkxoYQ+5jNyxbJOjmOc
wm4ckpKIhPlCDhNAO1t7qgaVvWV6LWXxmlYuFvm2453gPWdWeRJG/JhLZqD/NvTfGvolSOrvG/rb
1+J/AvEZ/UVPv3zgHz29/YWMKw4d9ilAPzV66u89PZI7eg4KPNr5byuYP3t6RD78c8ogB47oN+v0
H2sWfYmqMVhzMB9g1wIZ/B+sWdAG/bJmYf2DoMQlistExkdLwN//kEkgEii5cdYZFzzCeezjnemo
LTBlpIuWRlYMTofZwYlrqpU+EiczsRgplyKmiE6Y9p3XNEbh2xFoqNYviZNp2pXUWpbyCQNK5BtL
/FEOCPgQGUsmUt0Rj4RFj6QkrVWJY/GWAKU8NEIYeTa0DGxpiXYrHC8zCaies5ZVRWTLi8ZgFnuN
AWg72EX2GYLmD0omDpnfm26fbNXE1TZe7YrhBmhQtzfxZbC0mGMscaE69S+z6cCwdupYPeq9Fx6b
uk48eNAIKeLRq/2mJhWkVydxtLrJPIUhzj4YRKH32rcFqG6zDuW8BXQzc5bF/RWylYWE9eKk0XuC
kW6N9Cr3K9v6rDo2JV4JyWnIa/NDdgJXBkDtOmL6NqvWpkuV/kXakU2ulIopRKa9RpKUTICgdu6j
ptD2eakM30dhD7vWKBhNKyGp9Tj3dqnWOGf0NON+rqp6a1pDifZ55jlPyVO33Ap1SEMP5g3hBS8u
8h36gla2IZ1FfnR7TIZW2DgXk2XNe87GeCV0L4NeE2+dJV+iifR0ZUxu4pct81KHXULlep+uGStb
d5h3DIEuDWS62ykkpUchkhUwTWMu18WTGZthwAJoAAFmbUvGRThLR7+LG3lOyYPw1ThewNXWGDSW
Y60TpdIv1ShNbxVpGTeow4vPRDWbQ16L4jEZTMYAov4oWPD8lo3573J4cZD8/am1zT6Lv1ACLx/0
/cTStS/YPdD7OhhM9G/zxO8nFmFYnFYm/0Hmt0T9/XlisU1e5Nt/bIb/VBgawA9dnc/F/6CLQGry
j04s+9cTy1p8NCokRd11sarw6X46sVCqOvrYu96lnjc4wCzYbIRQlVFxbShFrK+tGHbDC5uW5poQ
q8I+5IMo/HnwTnbinZoCKzsYv7eU9chEiwOGLtpMpsk8vDKyERqeMe+L0ajX/eBdM1z7imdMwM2D
utPrWwVDV9QKJiz1VsXo5RZUxZWyU0T2ZjU4DBdaWZTI63TxiNldEzCl2hG9sFMZ0mGFlD4+QzT7
GMxQUp51+jah4zyTiweN42c3La60QtHeEmxqI1CcfeM6TxUGtrmR71RxF67XZNZilbSfF2cGtDbQ
Qlb52UxukC6OuGTxxqWLS25mpYOQicNn0HY1RjpE/AOjV7x1EBabdbX47VTD5aclKCxoy/mROecF
nPGcKQpevWZx7ekMMmMTT6zRR5tmcfZpTeSsE8x+LqY/NusDtEB8gBqGwBxjIJlfzCrKy3FxDCoQ
HDf54iLENb2Xi6/QE5jUNDRhgSrNAdcf/sNqcSIysct9vEqIvqbr3Er3LYhmrDjJx5QPLowCHI1N
GbISRkdlRNNrofcgiTTta6crBw07pOymU7L4I8PFKTl880wu7sly8VFOi6NyxFo5Y7HMlUI+8Xoe
O+tlzu0LhOE+qFmseQnhBeGtXLyajUyTNkA6VXP86kVP8Q1xMFpVGdAQgLAg9wHNRpazz1rXpE4d
4q0AwQeQPiKjgIsuPjhpOWzhPxF9yHtAXZsquCiSYbzbEJcimfWTNrK4LRliDtZkbrnozCzI+jHa
ariMUBsUjX5ysqyHdGK7O9Bd6tO/Rdy3Ik5DP/X3x+Guz3Ezf3ScfgVX67T/+P//73c/BR/3x4lI
Vil7F9AFCGZQNf1Qw+lknyL3sthIGCa6bFY2v+9lEFYvzDtLBYjwrfCjKPx9LwP1QFU13UTA/H2b
8w9quF+FMqZL/YYzAhsG6m84dz+fh12PI9UpLXnVqwdsUMl0U7bbH34pfyGg+024/bOqS8V0AcYH
MPcSX7X4M34oEzW2oXAg2+rKkMib25VptQgaY0MvjKtYBUC2yG/H9Houhe2e4zh2njgh9PQavsjk
x2o+6gTFVXA2y30djycRZmvbEOtZaIwxZwMqSXYVWkqQlcp+aj2stuVtp1JGTrG2nmvnZhTtLpyo
T+J83BSi0wLLrA9KRaSSm75lU/qqYIbvq2qPKfiJgoEhhIgvo65du3q2d+KWdNWx+cpEZltlQgYZ
J9ZW1GbvK0grV50ld/VAZ9w7yT1Es9pofX68p8hW96qH6tTQKig2xWfWejHyARMpSf4ZVtD83Lzq
iMkYsfC3zabK+lPYOUtk7LJCllRTlaO+jW1xwAKWM5Iv7gYtOoS6ft+MPN266B7TnHz2eJLvrW0e
JrMpNnVSXRTxSC5FjYPREqHlh2VzixcV5YQJwy6ajIs8QtzUtcZ1Jr2IO65/UhKD+D5nxLDoYJ3X
u6+JQ/SXi92M2rdEmG8eHdmY7M1rscrSOtnZKpQEJp6RPyY9MTKVjg5hcFM2T/Pj/7J3Ht2NG2kU
/UXwQUZhS4JJEqkcNziSWo1UyKEA/Pq5UE/b3W175njvzczCpkkxVH3hvfuMvGTnw7qn7LUbR2mI
Mkx5p3J/CfPJnrWays9U1cEnY/IkO2WQP5KdtVSwK92o7YXqexF174Srb/2eiVauzLU91syVZPEY
zoAmwlowJo+Ms0b0TdAN3m72nPcqWQx+U3Pee/a7aPM4EGnyVeQ0/ZEt5qDu/DtUUV/tRK31Ovkg
mFUxrE73MamyTIXEuoShNJjtm5GmJPzCKF6hxD9gPGSPMXTbRCySKguBrd12amNruo8Dtb9CCnA/
RD2ufNkdYitulo3bLQydOig9goOKEMEHhqHNwA1ILhBTc5HemtaSSxAzyPGHx0xnzpBM7tc09V8c
I/sET1lbC4zRijI+Oxa5bNZRmmDAdPT7aKpvC9upYPlZl5EkCyguY8WXdXwZUhJAKlUDiVe8H543
P2duiDyc+3tIiw8bHsh2aPT7LJJMV8CXjxrJhUPUMXXXvnaaeAbqgAogi9dkwbNLBSnkzwAN3BKz
kTVlh+pTWKzspg5xR7Jow6FQ3zkRRGbqCr7lgI3vMzKnDs48pleupe7q2uQOqj5yJHFJVkkSAKov
sLlYpjFaR1TBDiBTEIibJH207Q5HfSiZcz5gCh5BCE3pRY5JMtG0m6ZP/aXSkHRzYQ7JeCB6ANBz
GTR+Va5b6TgrBtHryKoQbVtHu3VIc2Lwr8FNqPhtLqD7U1t6T7FwPhJ9rFccazW7PGObywooynRO
OftKyvo5fRgpAv1z1NuQBWbrpimMDaTOm9KwDsrQbuAbBK4WPZgZ+FvhsI/Wz30VXdGIX015fJzb
bjuzlgNY94URE+ZYj2jnFvMltv11VkM2aBvARewmmmo4eV65aeoM4jWCOHa7it02w8VUaGyYtMup
ax7yxM82odl+tGAIzXp81NoPp+ebOLje1rLhhcBLUmQs+6GiiE37SdM2OnSrBy8axl1dk3eTRkQg
0PZ1FS2W9ZSXNnj9GZbfUERQu1POrVVW2tW0Avdr7bqpbNZCUpcJC3dx3W5hjj4pJR/aWntG+mZd
670zX3Hh1dtG1q+1aRzixvoyhuKynoERSh/kUs7s3WFTEST1INZaSnR0Puf+HSE40zHK49skit7Y
kWpLcyvPG8ZbFJsdevKC7ZjdAUY2+RRVfJckZRr4lnbWD+1Tb5QzyxEr34aLR6Di9UGi4O5Z+xln
ACmEbtD21XypdUK7c1MWTdPkq020hIctbGkAYm0f2J2X7/k1i6CWXWC7w7AfjE7tmKeXawv7+k4V
eky1B1g66tgzsjhw9oqk2T217BUZHTetHS8jtR1NKAWqFgLgZPM9u8YdpfZTY4y3kdO4B/w7TyVe
wAUmFp7+97VL8fCLlFrHNsHoCO+j8IiU+fnSdWVf4Yyq+6tSkANgXKbizuVVO3QL6f/Tlf9cRSyy
cjo9zL0GIyKPQdDSdf1wwbdtSSygatWVCDdh9lBP21j7P9Lw//cUyz//4SmUrKVUvVRXFT9MSLCr
eHixq9v//Z795ZP4NJoetZVhmr88SRuT1JsWSl1ZzV1dXowafMrD/36KP38svFU/PMViN/jh7+jY
O0WGPaorW9zm9XbOO6B9l4X3mk7/55kWjfPPVdfPz7S8kh+eScaDk7uEfFzVE3z8ggW7edbnjHs3
Q3424y7/33/Yn30ShsAd6NggvCwmk8vL+eHpgBGOc9MZig7oyegQ07l3UXw+5f/2Gt96BofG4O97
jbtevjYff+40lkd97zQYCVPI8+7jh8E8sSA/vs9elnBbRGGCdc0yEV6U998VYAtok7RFhGGMYARn
xe+dhoVBGxc2AxNU+xahjP8MFPKndAmeGD4Iqnz+d/mu/PLrisIa3GNe9qeZ0J/VmPQvzcQ2MMs6
YE6DDKZGPiI7TNYkaR8TcgUCx1AtKd7DVd6WB1bN2qoFOcxwsga3nxDZmh5ZfHA1ErFMXuEXTHnZ
GniFB/9Pcfsp81jOVP2h7kZAOavLYtQf1UyWQ2s/+TUCUYH3aht+5ovjf5R0+JtaxfGKuweoLlKg
pEofHFG8VFN5P8QoKMuO5IPQdR+aumPUUzx2vvYYFhB3XBAdVnIcsviiK5OXthRoDhBmNJbzzrUH
h5E/DC8Y00/TJBTQKJ8JiZ42dmoB/e0wi9VS7Znk3k9m1WyiTm1te+4CM7UUWjM0oJkmvtT8rgMh
3Yu2o5QuZtiKkbNxMnGDfuFL3fpXiYNSxawXysoSExQqdRLV8ITY6h2d8XNYm5dtWbzbtusDf2uo
uSCD7Vv2tlHlo0ujQUujF2l2w6aSogqQ6IPPr8p3ZfjHTJu6gGW3Qqa9cDZtpBLc4s2aa+Gia7Oz
2g4vikgGc4JqAWvaFp4KSRr+PjKdm2keviZ2+uHlzZ1FyGZozU95hMZB93iRfEi+3jgrpZDOmDph
X+ZYu9fu0B7RYX2VqV/ifNN3Jfk3677B8Zbr5qMdOTd2NzGhTrI7OzK/9gS0H6ZkebjT91vb6p9y
GGItajoEHe6273rqxb5Ld64rn0s7BftZ9SczdpDwZMCUagMdj25rK3fOtjoWdwy0+q7uMOVFWTWs
+opPDWobxkryLD+Veotwnkytdhe21XkSgrib8yzCMYLN31HzjScdqgZn29d2vUYrRm5vBnNT70a2
1nNLolPPN87xlAYqky/x1PIZ5mYVbVQz32LS5FkLsY3CYRvq/e0srDM0atbKM2WBWBtGHsp49Gx9
9t6V45Ogx+UErt50gw1iUYaMoha8q57s3ZqyqtTivV5oaaB5+Ch1vdy5gOkMPenXra75+y5W08oa
xAeJaxdiLAd29mm1afwO/vY0BSZao02Uj/dl7dCLojbh24hM0ere2t4nC3MReNhzNV/lEEjPbSSB
AcnOGOfkpwAyQwqJsK8ZNs2nQJK3AbGk2XkRtUriWFv3U04JsApppd1VyCwZWyK5NGjirmiDEGJO
dRJfWfUYPUNa27SSr9BqWSGcKmq/tHP7NW3PSneifez50W1c69o68p3xGpD9WRjVibUhEA5PBOI1
EuGF29aH3tNDoILJ+Ll1sWQekJq8xlhyXTKhYGibWuZTpnQ9OZL92XPOyNgIWM2+61Hfw2B3JyTd
qCOWPinMbIeIr8T0ojv9k+ZghkMUBsAhkEDVeu6GL5mTxPZRN1GZApob++pfG9u369Lmnvr76/K2
ey2SVrJc+/OVuTzy+5Vp6qwXXA8gtPk92Pj7lckmA28bomnBfO5z8fD7lSkgkjLKYovqwSr9XCJ8
F017vy0lsOtDUUBruoBM/8FwjrrppxqONa4Aj89LEAzoBAwdXvqPRZVGM5M1EKYv+8nFaZCalZOe
uGMX2EeXyyt2bkO3zqVzcpDT9As2eOEHN4CEBwPnVm7kFzWIYTmVZ7ItbgAcBN3CILbS8CiAEqPl
IQoVTHFkoWZD7XUR6+pxZjrwOWUvmYFgw3FLdK3z1sjpfeMZzDNzCMAlPSyoLj122KBHV9g424fC
eDMhQI+DwnimokEQTYMhJDmjLe6iXWZoaFyBHrrgoJDIuTSzusWxPFQHL/HyXe35Z66EFnxnMQaD
WJwr3MP+Z0xZsySWpUt2WQ+wyoRnBakalWh67n3GnEl/iTzzGgaBfiuadJ8VZGBs6obl8iYn0grb
tRrfelbVK8UAycNwy3ZRsZj0m12VuPiIWU57qgYPKaTaWn15xLNRr822Y5YRJ5t6Rikb+9amDId7
Uw8ftGY+YBy8GWi2C4xoNqqiQesuRuVc+oNLgVGRWiTNG5ADr5VWnsve07js+yNUBfajWrUXSGpW
jW/cDL12cA1zU4QkNkfVVxMjTa6pvZF0Z8rN9xRQF5FfnHJzPPVl86ZP7Y0fIy1K3fvMH1AWe/vQ
iC7deGhXtaxuZYWro0gCWek75bQ3TScCa1Tohe3H3CP+12ctJdozHHIclrllblL/a4G/yJYEWap+
o0qxY46HY689hkl75WfdMzqYwKM3rjRjU3jxaS7zS9xhK9+ZT0Vr79vRfJxVeUS7tQIQS4qzva5S
tfXj+JSG5am1iImABwk0+Cx1kNO4+ovppFuRdMeK+yMqBUGRfPSRx0CgwdkDSUu44wV2zm7V+/qp
5/Sc6vTUuOZ1PUEYm7V7J7YO1Ad8wj2Amiw/tIZYCVyFflh/+Da7mUI+eml8j4/ypou1bVg5F5hb
twjOT3pKspg7kf9pj28DLwLdmgFEyyBxcT5DWLZusLRFnrHVkvFcjfGhbAFjiKn5aDzzBuvQTTPh
cQujwbn2nAaRr4pPbmizJjcJ9JR6egCdiJKZQeoyUUEvunLG+hIGxYUy+Er1vn2QQ6sxNFBVULX+
lykaT/rItDG3LpiLXY81MJ+xYjwnpRdYdf2CV46vn+UGVRXuWPVNW80KX/CXHpU/xluR93eoADaW
ZhHjYDPJNrE8wTgrWCTm9uLbbMZFUogEPzaOoW3f2E2CwM0mLzQd+cSH1L9KK23XIt6uUAvtQfyQ
OdN66bYejWOX9rssjNYO0V+6avsN3w4+rSXKwu/bqzqMp3Vht+eUiSRyTe25zJNLO8wurFrbGdaC
3K9PlYnVTdX5e8XsZ2vOWrDMEQLKJt6szr12pDiU2OTgGKUWmRXQ5sMZKYCW9utSNykTYwcmclJd
5InEr9tp69wsnzoaGiAWEEa0fD71hnVEfPjFtWrIm8Lch1Xh0IBgdivS4QZ970Pnu2fEWO2F1sut
JIWcEE11pJOZVoPNCZBrjB38qugDsw7ZtyZVvWWgdlHWhqLsSS6zrL4fXIbUaBTuItfh+24kbGIJ
6xIZJDvemrhG7WA16b0PsH7tJ4ssxNHUBWlg8jwGRfPv3f/t7jcZZfz93X/6GF6/vP753l8e9cO9
z4IPogPIov9CxX+49wlGXIzqi1TB4wb//d6nieZGFwRJmEyIePgfrTLWdh3vOkAzOmiDwdE/uvZ/
HhJx7UNaIn2RThnKMjfnL6ObsIeT7YTJdJkUV9bkLcF5kyIZyb8fZ1Ot9MlEgWgWF2KWN0zo3+Df
aGtPmzEvxPCcJ0wEK6/zSRRCbaNbJZZZ981ndyB7/2Ge63vMBV971vG1hgmGHvVZVnmFWtVFsYVO
STfzixK3z3rAF4kJ3jopvY7X0tWXwJrsAfHRvLVKl2y2kNvRDMnnMZ2nTHoP0TS/aaEo1mHm79k9
3GdJd9X49ikR4Me4cW7zjLahHOE7DB361UVsq7XnhuAXPYJvzMeSvxkTuID6K/pDL+IttVa4qKy3
Raw9okdeQ+VYUaCdpIjw4uOFKTzkjqQDsO6DEZ0m9bYWktuOQRTDiC+ln1ySZuViiqqn25lFWjJg
0jWqlpjp0V05qcUYF27ZKqIr2via85zPmblxVeiRa6DLM4/uOqgRp5Fky3HrMXYWaggksSeBz5JE
KH9my9ffuhNmiblxmA8McDCjpLFvfa+POh8TR4m0YHTbdr43lML0Ogj8LYGDi3fJ/eoGNOQTHkzI
UZG0g7DEtVCTSylcDBLttNPlCN59wBzfoiJIIxhvuj2svRnYTegY97ZXDWti4z+q1DlKvfVJ5J3R
roEpclu+OHHY33dF8ZLIjyZ0aNUpER27Jb+qPx8bL8XfWwCL0bVNnFWYxT1IADoS8GyyzknueJxs
BDEVa87cmV5rw6nvMbbdRLl9Y4B/xiZz6M1xN6ZpuE+c0IJyHO4LkHHrqLbOpz6DcK1V3mHSJiLu
c/GgDY0gzUPbKt9EUo9Gg7yklQjVYfadbKWXFV1kVAQ+JdV6qKtdkrBM1D0CU8yQ8oysX42RTNP0
D7OUj9IxvyLaZt6T1k+6KC+KMLufvPg5ypsrRK/JeuwEVeH81DZFzn8+3oc43dcS/V0xdmd5TxCR
mc5PAwoYnPSv3ZRsaATO/TQBpFw94wvrgtBSCJJ19L2yWXx6zX3cIniuekKVdS87z3DpVDO3fOc9
1wSSrJrePTbEuMyxvcP+/mhM2rjTp2md9/0LVpAbaLZbD5CPhRN9rHTM8u5sXqQCs2/tFshNhpNp
Rdus+JIBOu0HPIDtYl1JFq8KWpagdKarBO6nYDCy8hVKxc5rn+a+HZlUma+g5wsG/xkKOsxGhozM
1TBMd+6MDXkspcel5N0VRXQuav15FvGRTvTaYsNiMDNa+bX/hW58n/uAD1yvPuDs4QsY3skUUiDc
wQ8ntSt+UMYdX+MnrwMoBgMC/Jh73foWQdpTg1ZPXZUhrrq8NdjaRiZ7ypBLWLrcgqJrDPZBo7yi
irrJMs6VGPnnIRxinaGZobaF67+NYfdKEXUVGqDYQo/kO7w64ToHM79pUue8Eq19NVtihxI9Juxl
qNPbqjDwP2EIINuAUITywpqjN6MwznrZTyD5fW3TZeYJk2K6IuSy3U5SFFsKmQ9sb/Om9+hzmmVJ
CV3MZ83N8p62j/rIYQcb2s3FbAAtMA0ccOy54u6mgalGNWQd3Nk+wYc6L3P+yiSrAxyk2MFnzQ6m
KArSOKfk9uzg86b7V5i43LV/f+UfiukvlNTLY75f+Ibzm7v05dzq4hd3tEGSpK/r6GDImzKWqJDf
L3wPFQ4yRnjLDNV9BIN/XPjLbBw9y38TK/+xLvFnMBNsRWbj1vIaqD0s4Ee/3PhWLCsCTb3ulGdu
vC0XMOhY5mgVrqGhzdyRiR+Hs7ux40GPMdoPZP44Bt88jPfmVDAfnhKqSBTM9XQJ8MTBxCF65TBN
NUa3hk3vyNjaQR7Eh72ybZm0uN7CdDADLfTLgr7B7e0rr+/9pgg8iPykrDmO4gQxtDptX725a2BJ
dxBBWowqYzP4LUKPuNmlbeUDaNbjQ0SMyapWyr6vywp4BxPrui8JKLGzFOlKrYZzsvymLZbm4uTJ
rL8x3Ey96YXjVHBl4ugNze64la2eXyRuViKVKMNTqsEwhjESY701qKCFsqZrwzMJhexLdaTJVycj
Hbqgwb5bKozZ2HLM5hVgfruWHa6ddYz360Cj0N2Z9BroiAvnndrJ3w2xVChM4DbSG+0kqVk3YtbJ
rFv8zbLXRxv3HWpDp+swzbr6dGrA72wzSJVbuzIwm7Qt3BkufuuNj6nb16EO9MCoADX6fmy+WMsM
NJ4ZqBCc0ptvGRqE875uo8OENPDJclqLEHcTD17FYnymabvsmeHylhaHGg70rdFSfaxTAJ1HVgA+
I+IyPk3LbDmanOTkLDNnn4SKTTr74jTXbKLzumDjPX3mIEfTO+YeeQGHon3oWb5sWz8tIBwl5tGy
DInhOG4zLLkhsp1l2I7gRGOg77RXVmJVAX6b8hzL3nDeMtvH+TYD7tPEtia++quymT6IKo/OxjIh
islJPY2Biauj/m8BUpYT/t+u612iIAW5ZhGeYBvAz4osaQqz2fTDM9lo7gOymUcac/PC1ER1ycsP
t1oGbrEtTayBTaNfTnMMfFCo9BAluL1KsDnIOarpJl72REOr6s2U9OMmGuZw237SdP89Wb9pHDnU
/v5kPU+K6C9mqAYP+v1o9X+zPdsB8my4eKuX8/P3XorxKhFk7jIS5Yhk4ffH1nEZagqPQ1S4n4Dn
7/rGz60jR6tHDr3jgRD7R4pv708TVB93ClAMHC8wauGB/TxBNUKLxVrlOad41qzmnu2DpPkuptwI
4lhjgi8QKieEiWTWU/Vtxs+0X9csVlHL/L/53AV0n3uB6XNHkJcNe69vmwOnheDTtuEZQT6sMktZ
ztl1CWCiAjQBeedlVGaHeMo6TW5RB/ZCpZiXNLOojt9KDw2wubAr0GXGq4n9xAjWArkgBbaZTYEC
eREb4ROHARAMcm7x98pPOEYmSzgZCzFjIEIQekbMf9Vdlz1JbUdbm0gage+U2EkIGEmqjd5BnA2L
oXqjvH2JCMFZd24e0gAV23ZEBVfm6b5OtT2GiQ4HSPGmM6jgQAytYLbz+yTS3s1jVUzH0oYOZXm8
PZLVYyjDO6MW13mpb/xp2KXztdG592poH10S4Wyc2P7x3x/i5w9xMUT8/Q9xcYytALG/Nl+Sv0LB
LI/+/Rdps4VYiC3+f3cXf/wi0QiwUBAQ9pYJA0OMP36SDv/EJ3GT4cP3Xcj3rYYF7Q9IO0uP//6U
/8l4wzAXkPMfyhTOA7jeFqx4h0EJNc+voGcfNh8XpBWfNFKHAmdAAyPmiZp5mOqXobGmfNXVHPvM
ZEnlXVO7O/R0qm7T+ynNaM9nNIwnZO12UNRw/wHbefpwPSpRTq89/T4izgjGOVHToxxYmoCFE2Kx
DJN8iT/VM+r5oOs+jNtdB5orvhVdhxHAIYWCkR3iIABvc3qXY769t+kNzLWEUMJvUQCINnG9batK
ot/sJETXGLWqdHrvoTAGPNwTbfxDRbNEHiQAAORqBZZ8xqZ1sc6wMV9Z2VA9W0Q4PUOMJlwM8WtE
JSXDS083IgGfLk1QCzL7wEI+5xHyWzdc+6V5QJKXr3Mr7Y+65uUnzy2GG7Kj4g24BtNeA30f9j1M
FLAjtXgxSY6cmZT45bwa6EGR5IjE8dapIb0bzRDgNOYuT/YSFMt7bmpWEEf21BbrSa+dxtz2OP2r
cMX6HO+BGKxuh2SNUU2QjNrw3MHrMqhDwwH9gtFTk6bfKtT5W706KYSL/h7ZA//aVDXRztO7+bpt
hvTF8ov22vdaEPnSNfyVRC53h13w5FttRZ/4ydUvtGjQN1G7zB+iT/Y+mSpw+BEjp8+ZbM270aeL
I6INVsUKRV4i97qFsZcJLzyIQ03U43iWe4mtPlwlog9Y4N6u70AhyyQuaypqE+SL1rJn1xovoFxt
n2Km8w3QHs1f0x2v/j25vp1c/7M5u319b15zLBJ/0aJZP7RoLFyJiOCg8UwPKQAI0D/qCFxlrol1
67//hEd9LyRo3ixOM2wM/J+JVumPFo01rSHwVViOWJo3RE//YChrLs3eT6cW5yInIK8Oqihj41/Z
tIi9i3YmOeZylDA/bGa0W+KH0s2ie869sWMWleH+huIzPKs0P6/a0d+5uoCNXGPTDElBCKBKGTdR
5G40wZGWT4VHDE6infPTeHVCcz75ffeh3LrdeGm2+ITCW6vX3GMx4LScYJhuK0BMJw7YTRrFDywv
NwqMwDbxxRmClDP2ZV+zcXpQcQ5UJrusZRMANt6zbEhXfsrik7TCKkilEa04cWXA/LBFFdHHrCLc
j9Sz75WrvWSD9qGGuA48Kv71qBjXFWX+pc7RFGW6Br976AMSdTG9Z6ogLs59m2IKA1DRxlp6A97V
vkuCfiof4ry8Nt1o45Z44L0Jw0TdIywiqKKPoHUf3Mq6wZl/xG33MSMhmYor16gUdIfsVPjuFtn4
Yw7kITTDd9q2u8GBTaGnX6domTlJ81o0LNNEj0l+iNp7GgNzNfVdxRkYy+3YyXFV+7BfObpuc/g8
AeYKlpRCB4Qo0efrBTXgXNoz5RQU1TZM/Y3WLWmcpM9nEMQ5HawdOcDpjQOVPRgZ1sErYhFuJIDf
nVKzjui0k5XHKJueF5/HrDW4aEZcsVqp7/qxPYDPTtiOd8Q+Lknl/WdoeREtmEJzIRam7QIvlJ8g
QznM69Fy1WqgLtsU4A6xjOxH8Idxt9D287bzjl3Ytf5L48zJl1yWZBX4hkS6ZRvh1mkR+3p6AsZ2
9vt1xHRgW9ksZPPZTO6FEg8NyFm4CP5LRtAPnjP4HspOGQRUPcCQSdz5BUTV3MFKFvY7ye2156y/
13oCLHtmW5sxnIvdoIhuzm32oF5rFpftwkLReS8tHIBjPJV3fANA7pNItYbwNV4xwsFM06sK58Xw
1tJTnnuZOTByjj8qA2PvbE/6JvGNk0ZcdbciIYy3HhqI53f9vunDZm82rryt3VpeDqVX3GUmUrQK
MCu5fuTCiy7oOhfXds/JHdEHjy553D1YVCg4fbnqyulSdX64pg+AVJGV/sZJTHXeuQbQU9rWs24C
gBBW6zpWD6xVMFggN4fTVaVBZPto6kZbO3A3qJcsVQoKSR0GieiK3ViV2XtGM7+XvarxHIizTMVE
A86wPZvOn9FGzNylAPKaa2UZ4UUcWeJIIhlZph4RDlKDoV5i3AaG12xHXYxBBwvkqIm5XLVGpq8y
Z5w3/95H31paGs2/r6QvXrMPauVfLXs85nv9jFPZwsXGOElw57Do++EmInHPt2lNiQ5hNYck9veb
iO0gm7/fb6+l2/1eP4vfXKpdEPKeQQ+6ABj/wU1kLWrdX24iumn6WgHJnTL1V1Q87mQK7LpwLrNB
Rufkb9fh7ThmRb13zSTbKTabAGzA29b4UGCHyoPdYHByes3ZZyGerJzV+FEp3YdcwmW2HQmUXdke
m3QLMpBwMKypFHliFhVnms8u6XPDNEp96+YAfzE9bP1ZMPdHaDIQPxaQCD5jvY2j82JU52kht5oY
FrlD2t90Q3swh9F9kaOPVjGN/Y2CxCP1cj9jzFFmdFMbLNZ1l60faazDusibfTcbJ58sNqiM14kl
LvlNHfA53AL222ll+6RFojovwvK8jsk2ie3kYPjqSRLjK7T4Njed+yhZSnBBZ21TdzNIi545dA6W
qDapHj5bPvIx6j2u1TpEODAo4kxYXSQ2ZxgZ6+uGnQ2nun9eW1izssbEqixPNdAcKEXRsc7tV2Qh
lx1U5I43GmpYuZ5LzoUprKg7M28NuWIPvSPQEeCT34hzeS5AXEPd8SrLCCxvOptD7Uk08fWkbJJi
uvTQR+gzaq+d6acZKIgF7maEUDJVuWd4+ZwRIsWIDgyD1czbaCJnOKri95ZzYz1VhhMUpOlBED+T
kW/tcmGeiso2A9XJOEia5qEKY3tjNV97BJ97N3P9DVJIIAwIWRG6fNXGFqiN71M59BxkCb6hwavv
RCMgS/pyD/X7Wkbt3h9QpNrAI9Ku8tZOxEk76tH0MhUIZiL7i8dgc5OiIEE7ND/bTXUG3fJl1Ofr
GuvN0BjPqgJ41nTxV9JvgAuqDBpvS669N+0zKifwYEaLZ0nB3UJgohlOtI6raJua/fsEEYLmytp6
Q/Y+kRLBjdwsDOjEbd8GTAoXjK7x1uWLCbrDkCoDtVij+fshPU6LXzp0ErzTAxAAb9UJD6F3zmkQ
QFXBZoZ0Ba318o7P+LVXSUjkAcfJ1tfAfq3CTIvWDGTi/TTolzM/hmt4F94OcTYAX+a7K4Y+Z5aV
WmvAWCur5jGIobVL9rUIdke93Fh822g3a4tUa4Nbz7aS8YDnjqV2XSZnQoywQgZHbQCUdZhYYTjq
w7BVUMyEHl0CnsMyZBpHq6/RkPn+NViDKGhleqrdig7VeGQDMN02hpY9F4SUowYH7msZY2CETbUR
HV/IxrUyWFAR+haY4yNRmUyx+c2iSOR7YxId6xUEuBiqH04AE0lXKYHna9ORS3uT+bgF+7oBPoco
ABNq+9b0i6qnYrVoNYfC7S0qSnGmCcs5MyJW8WWVGguqq3kxPaydDnzVTR+RwWgvI6ci9uC45U21
1SoJArSb9ffaMJ/SPA+3qPmocxsldsVMRk2WIaYuc5aXLSnquwEYw8owl883ZHM42+F5DY5EIntP
+EWtFclOKfcukmakh5qzNSKyGydrl+Rhtyl9+E7p3DAN98V6XLR4luj5hEgChb22BT07bfMiv46d
hFt8gToCwjwXEZ2nQleXONkz+K9dr7W3LGoH8kHgiMdEwhRGdmz7Bj5EDxsHdN4urKq927dfIytk
6c/lgYhO8oNFXm8exZjf5W0qL/x4YL2dtKvShlCdl3D2I7DzbC8eGSJulV2d96H4GEvTWBGDetZl
irm3Me6Qud7+WyF8qxC4Uv++Qji+fvlo/kJBtMRIfK8RcNToaIeIXTIdUmggKf3Rreq/gRlh0ciU
i9XNjwoi7zeoTGiEYDAJxtI+5cP3GgEfzlIbCB5gGfwq/lGNYLv8l36uEQSLTrQJeIEY84nlRfyk
HNaNqTU71KChn2+9hUnYtU6xkmAKSaN6rMAWVgiKsGlMZ0uXtyvy6CjLfq+DOrQX5qHynXVsYcAp
PXk+lihwZj/FVT7ogQEysVjYid1CURTgFElwQJmX+P7GTqp3o6dk7kR/6npyvI3h2QXKaABndBZK
YxLFL64vAw2R8ENj9voencZ5lKtw7YX0VLzsctsDfiwXAmRkmM9gdInoWuiQUOraQKHUobULv5Ko
9EG2IuM6bvaNKFNy1wBNlll8DXXzdQZAqS2YFn9hUpZOMm8yMJXOwqvs4cKtKvioq9Yr3wRQyxi4
Zc7wEtc9f2K/kC/byrjSQGGmkjQy0JjpwshMG/LE2sS8ctL0Si+scZUkhB6rha0pF8omMiIidVv1
DuSRDaTRJ6ssFnI7xyTqogW9Q3xxxewexqLeAbmypHeBJ/62Be9JbOx1W6iGyRiqSw0EaAwKNO7G
c6KB9bWnFncOuNDIwJUSlZxWzNlL/PUO0L+kFQHU7PkevjRh76XTY6dG1RMtRFLCMVOUDeMXbaGV
RkNMhlehc2ssLFNLCW1TgTd1F8ypLSoOrTC8nhYGaoxbfjtF+qI1yXG8LqzUYqGmlq62Kxc3deJt
y7R+mciI3LWRRcRGFefbLPKg+IFhBUBCcCaQVMisIXzXGgu5B7VVRvk7igowsQvRleVrvpEL5XUE
9yo9QpijpjpiEQcKuDBh2Rpv0wRKrA4uNgkNEtAXgqxp1jdZ6MWBR5EZpAtnVvTse5C6WPvGZH4R
9fN73+gWHpYeEdbCqk0Xam2/8GuT/7B3JrtxY+m2fpXCmbNAbm5ukgc4gxt9q1DfeEJItsS+7/n0
96N9nNd2ZbmQuNOcJJCplCIUIjf/Zq1vRZBsp9E5U4ZAlR7Ue1WQGYAe+yrrmxlOxqVsSXKb/S6E
rOqPDhtxdZcBzu1mgm5Ixsaiduxk19DzL2u/J48O4i7y18+oULNFn2IpoZKmupgJvSWOME+nrEN9
JXdQbF7cSLzpYH3tme8rBrq+VEOIpjk40YEAT0H5RmQHDWJvl8Ry1K66oaJsUPJMbN9gCFvguoeK
qbnZg0IOngafe17ETr5M2lanFRg2o9mY13afvvRZwRjKCQmtrhv0Rdb4OPgzHZ3kQpRu2ixki1d5
TiBcHOcgY9p+2ycsucKcqgmB8MIIfAX/DIhk6TBVgpt4P+XepVLFqR3cetXm2UfYlFANgn0mnGPn
AKRuoiM0ta2I00OgBWc9osrNx8hfyKSFdV3JWz1XHTOlspvFxUfHhPptB3B8bR8ZXswbd/1d3cuj
rukfqrE3dQz0IodpnnvpeMi18VXojKe+erfKgXF+OHbqEE7Nxhn8AbZ7ZDfNU8bwId8MQcHABz5u
fofMvX7Mh6F/GTwByVHpdVftzNCxPvlxbh1w+yX+NbkjvrNvSk1+8nwlYKMRQLdNEQqtoME9GYFU
a2sQXBqen6w9rpedzOFM9hFlRM91t7YK/FdchS+tbHdTnAo0UmoXsJBgKsbjvQ99pFa5d+NM02XI
2maJRXda0txdJ8qPH1qDEy7FpABUKRFUTtGHX9k3laKN0nqCV8K62AEySZY2UjPTbb6kY/dYWoAv
uYu3jkfY6zzmK/Xp2pXhsY1Ha1kU+qsxcI7nGRh4VpZGz6qiabx6VyYaqsrau4yxLpZjA7BFw+K7
yMj1i/fZDD8FLfdq512wNgVgVBtCahhHbwJiah4NbwME1awci8UEUxV1OffhjFm14a3qwynriH+P
dw6leTZtwzbcap1z8WdUawezVcFuxRq992aYqw3VFeuJAQ6E1X8yI1/ttCeOho1OMONgqxkMm82I
WBDbhPWJkChc8LGYE7dmpxvLtM/7hVDlbRgR2cnC4+Rhl8lnDC1ylQAIh3ZfBuJKBqBqLR9Ac1UB
GYFii/XlOodqq8ETRXCunlDlfY56wLf9kBz7GYXbDc3RA3Zilc4C3uZlnKG5AnpuMWN026hgOqvD
8XWAhQPahcbrL5WWG4uWXjtDZbEkSYc4jWSFFffOdnH1gf95V5hSNv3EYWs6zTGa0b40lYr/cdhU
UH/ljP9tw4D+BCIw7B3OZ7rZuAOgroV3cMdey9bei5L/BtWqAy0cm/ypdXBd1UwdtsEPp4b/HuHN
tMAS5xpf9QAVNx3IUsDFqQi2f9eT3+pJyqt/X0+eXuv6/U/AeXMM+g/15GzNJkzNFLRus33+DxUF
Kbvzf0ZdDrgOS9ofMycwUYyo5tgPXaKzIMbj/9WT7j/ZVSh+IoOnb77uvzBzwu/2az1pGbwxi5Ut
NjTJZvnnerJr3UFDH9FfWOzV9jrovAgOig2x1x9DxMvCOzZT7JvrMeq6+NFoDYhwoE3DZl9MoY4j
DDPtqQa3Ma2jQTSUYn2RsYbrMxLrPw+qhziUMHGe1o1f0TIjJmOCa/juh6unRnM31jV8JGbKQCK9
kd0itqa8n6XS2pxSXSpfTPio4p4bZcoNakVE14OxToVfTWtpGymPPODLSJpiY9vqMQFPVedL6yEx
iDDb4FLbh8Kggc2UbHYFZdJuMMc2+uhNZ9j4EcKwte9HLKtnvuouAOx+QOmevIWw9FYu56K2GIux
W2sJMrguDZn3BCiv9RRDHDIN662z0KZNUwpHRR+1gGbfl1trDD5Ur5EAnDkfTM7kokl9eKAFXyPH
EwJe10L/Zb1wDHzY3s7cpPshD5CkgW6Hfgqxhm3HdP1NTMyG4JCteEiiNmfJY4yhvnMqyVzLA+tr
YHXF1Zz7h6LSkms5slZKBsPdOkX2HtuTtTUT019D05PbOm/CtY6zjuLFJnXEapPrWIdtVGJWSotO
LNKy7NeOljMRdMz3oNbyHWoULosOE0LqSw6a3EevrbS3AqfQTk1Ju2Ra42yDqvqwe8/bFoKRm50y
SFz1FX78pBH2Ns/T+uBaerQSWhCdec+0AbnKGap3y7CNoNGTh4sUrh9vXNfDWe3m6bqe09zyPgVY
X0ln0besprOp4m065nOSxYiASwqOqpI6YgIqTvoaEqIKCpkWOsuW/JjyBpwS3ES/b27skAnXNBol
KLAR1BFaNEp43R3WdcfTpJZDsR4MuwVLTuqTN2TxzkgARpPEnu7+Pja/HpuzGuvfH5t3wWvd/Ekb
Pn/X92OTpTFBoWxoWMgyCZ/b3D+OTUb1rJOZ1n8/AL+P6r8dm6SLIj6bV8ezCuZ/23DoegLRjHK/
qoT59r/k5LHMX3W9jAFsforBhAAuseNydv/YhkPgwd4Ku+ZaT2yQ/ZLYWEP2j52tmEyW2qUI9GpR
T+GZom5YwODcwW1gQjdhNOkG5z1vwzM2oXsZZwmx4KWzGk0X1akPMcIxd07SblTjrVNionvMfmmq
xYseewvazpfaoqwPKW/MAWT9UL5CnDqPTfuOD3LdY2JtqOgWo1Gcy0F+Zsm+9UeX6KQaS7AWpu0u
Kqpd5brHOvLX+Hs2Ezh+lmfI+63upET+YPdkiougXY6VDLfBJF6TSt8IXX8O9M7a2B5ld8HWeFth
OiBlEwOBpGWzhqbbOF6Bcl7buWa0joPoDjcQWXcmvsCuGG4yQ/p0VcUG4yvWA97c0cSMvZycflpp
mZEBBrUvrpl84QAptqPALhISygiG3ruvkvwjKVo6xawnobmOzrEEChb6golnR1Z4gCBwCSdspPZ2
mAmQ3mE1hNn1yUNjVRoAYTzGTn4TVAEUd8eFDar5C9tqzsw9qRTbrWiGm5B2ad1O2rgY036rT86H
ocFZA/R5MwT4S0hCfYkiA+tvoRF1mNvspM10OSrzfkrDF/Y15FzMoH8nZuUQEjBgEOFZ6h/4g9QO
c4VcibAd10GtOMg986Ztgqcg4v37uMGRKKHgUSRqtwoeWpGZcp3W7XsexXutZuLtkxBN5MmC1BmF
m5HX0QeiqD2WMHkWPDPzuR0qOTDOLLLFZLZE+PEUKTO8L82Iq6mP+L7EZEaE6lpu0Q5f8tx5gtDC
373Ga4lemIdb8cKA49RE4akK3XCv+YaztBTbfyky1h41cHk26FgmmgLcR34FDfuEShnkKYz8BTRc
7Lf5SxmV4aZMZntLWK0GSax5zxvtuykmpqTblYZ+LQTUNgumPxGjx8pv93VWPLRat83r7Bzk+Qal
M2YStMdAdjsmUapHQpYEpL/r3TPS6Pe6EzhHhy32zXEVZUyGMpVf9JHfarSv87Jvlhip75w42TT6
oZyumu7saeFm1F3E7dnFsLJr0Xm7xIIh1iqXaCjYrADQFy0dUJsTpSjmgFcVIXzW0tCj0A88BAgk
k2X80Cy1iiVKl3TZy1atUr37oIxAUJma9loU860a129DRDJf7nzY0dBSlRPZCOfV3RqZtQ+M0lpN
nkyrhRhNJh2ZO2w1bfDpPk2iUQhMZUvhkCBOHeMPAQY7L442aSe/tFYjN20Qf8nN7hlt3GcyJCLi
FdFc+GZ/TaFDUHeoOno91aw5jgh+tNpMVEfhJ82Rs6fEk8dKLBxKYHUZ3ZmVpZHChgW2/KH7WlAF
CFC2rRwL7qUy40lqDxRfztdCzMk0irKyE6azk45BZ1iZCBiutIzUp7tvRV7vVpp5JPwwP/ZWlgTP
FVmY3SVuih1xWQZG8jFZI0GVmzC0aPb16RWY8G3tsa9r4uEgZdZuKq0ato6mjhZK2xUWDjlvKT6X
eU76aqOIKovkc6wpZxl0HToOgIsHM+diJmUCe4GkPqCH+1R48jWIKsEgM2K0MpUfDKu6pRnkOmFU
vSDfZi61GsQEIxGOI3MVEjIwBxTaGeHrjea1R9DEn7qw/0B7vOwHlqy1gVrRLywGReZwCEakIURk
uHbxGsb5raJIWzTCoqVGGI10vr/TRXTl1e5Ji8aXJBAfkwG9sfatj7hLHxG9rbTpIMYhWkmrYpVX
3cbDbG3DazRP0pJjEthnPU70lTvkr70/QaU0q+WgoRYuw4m4GpFeKTueVmgT/LXOYFfwxFz1tjUh
9GvPkz4egaZ4Sz6FYmeTFrmoc73ZmuRuoO4oVrYbgrKsRu4lT7sn4WSy/CdR1UySZATsRCNJyond
nheviE/FFUosGzUVKqqVydSDwemQX9KhAN2Q96fCQcDjOCRV+IZ9CfvszPAXDVLhXVw0zBRbO79t
XpXbj2tK3bsx0co1KkmmLi4PECtqH7y2ZQrVZ0/IsQ+RFvMe2+m5ZSmE/EZJrgFEFQhTtWWVN++1
6z5wQG/0IjlBCSTlzTd3EEcfMF7Oo81hSTrqnO913TnFrWvlbyEPOryR+pXUm6O0uO+6THpbbzIq
XHbV3qd14NRlacfqAGBGHO9dayQX1gfCCJJvW1sorkNZX0hAvaYS2WSieSSTZwexkFTBVnABtnJY
x3rardG4lfD8PXurIRpf2hjxVyrutpmmGVslAsZSfKBLchguOgvUBYFahzaD81oq92DXw0OSIc4e
cx6CHFkMiScfcqJxTFBXLce5Dq64046M2RFeEYKn1QQvNJme7idBGd95RE6PZukxPzP3UobXULce
NYYYGy0jqJRDjgMO/O2UCm4Jy7kW5AmgaDfTlcqHz1nuP5lWiT7I/jxJk0ZP3xS1es5j/xlljVo1
Zrj30uJZzwnKkdVd74ijGWngcwFi6UlwFFX/6pPc0Nri3Y2JgmjDG2x3OKAb/S4j0QXJrrXhrA+W
f5fdX8vu2V32m7IbpfkhZzgU/snIYv7WP2rvOVYUx5xSYpZZzvjqP2pvAzGMQjtjI6qVmNv+GFmY
xJTyJgQmPEMXyGh+GFlgt3PwkHz9YX+19DZtivhfNmC64WL6oPpHqmPLuTT/AUhIDEA6DHKsLqPW
ISlciNaAwJERxL1X6JUvoVRn7MSAOiB24K2zgInELmWVfmt68jauqKV07oUB3gczjWMA/6Mz21NM
GarBBUnggzhwQiaBQb+DHDIW5klPOAhNmCJAfTaeb59qWCP5qN0gc3uwx+yJ2nfpwCRhfQd5HrX3
mO1jmCWBRoWpoJhQJD/CxYPDod8wzr1qyUJC03AFqwqwBhwU5UwosY0lZ+eDBYaZ2zBaJ1X/5kJQ
8VxW1pX5icipbQdhJfPUpoG40snyyoPA4uYD0h259AHftihZzLw8VxBbMPjsAgPJzTgutDi/REZ0
lUN4Ye6zKiG+UM+/uBBggqA9+/247GYyDIQYE1JMJQoEAR915Yp1OqNkiMI74EZ7pctehEo+kahF
SUq1ZNW3gT9ttShapbBpVFEx1hlrgNjhBQr+LgZ8bUCzsep0N431beo0b5kYUARmVwH0mw4KjsU6
H9nGDhMdhL6CKqm4Ymq1njx3b/ry1p5X+A5cnWYG7MgEh+CM3DHG8lh68auZy1sXJk8QQmYDxnNp
ofWQwrea/G5fTVjjoPlE7rA3oPvIdHxARrNWGfsSIjpBeoHuDmYkkJ2W53CGBKkZF5SwLltBL3+1
v6KESuqPGS7kD8WTEGSqkKX6Rm4ifJrqK43o2xzM+0opitws2Dd5VUUXOU14gyKpMnPbVeh6XYOc
r25WkM5S0rxsKSt5CsV5UxwIEeuW9Sw9NZIZcGJNRDKSccZABxM9uTcCq/oU3QpDbGMBdt1C0Rpl
NJbYjRySCJC7EhkI3WeWwEaFXa6bWRbbzgJZIrasVY1mNpRjuaLwIW3TVDEEYx6yeUEB2KO2dapG
X8eqJUkDJW7oUPdNzMtmia6riXsNzS5dKvmz8jLRP0o0vWUd96t5jiMR/IaTPDvoGrSe7ztXszCY
/xeJcIGF3UQ1HM7q4Tx97Gc5cTEDgLxZYoyTPiaeUr75fpMt9FmIXNRlu6qle8XYhlZtiL64GgrS
ThJD2c1S5lg47/ANP2WjeLDQOvP+A/bXeg09HiG0WbA8CmZxNOo30jxij7zKgkcyCmrG9pcORbWT
9o9yGD9aW0dR4hyI/QjJiWzXbLQfQ2LBCRYsr0i2Kam4mayJWbqdo+FGLUQ948ZzxvucUyGBAfdG
9sx6iE+5JB8wd4DoDD1q7cDPNlE87D0t2Uas1WFqdy+gwvGjNsMl1O23oGO7IjvUUwNprZOtEPPC
hLQxY/oOFEFRio1TIAwrTbH1cvHclMwiOaaWZW3tQ/Dki1aFz6MP88LV5OfQK3lWU6kgPn/TwKjX
Qo3LwdNXZeY94YSlJ3BrfkCL7D32lyjSwbA3VHNTVdwHPU96PRrH9aD4uw+e92zOPE2v8GyuL3ND
QiLParfnFg3jcZnn3JZoeZgjmgS+6gAjOg+dVIvOhTRxuO1puQ/DSfHeugOm/suQsnUcp5bWDtR2
oGPX7yh99UPTOxN7Y9eFBk5tjV33FAf6Xe83RysL7o2RnQhWt1VWRWxJJSGuatBOhNUabFHiB1SD
WPNTQlcTG+7+XRDE2abqaz+AIUr6eQeWg3axC/YS8RchgXKR6cgP9Yl9DYgg8D51yjKxFYBWRtKl
6GdtY0huwrwL/65FvrF8jN/WIqe8/sf/yfz35L2m7vhVsvtDLYKvDYgf7n4WJf/q73cR41gSowhL
lJkK8N08Iv+JbwTPCTBaxLSzLvf7HNAUQAEoRnQLjMwclfaXQH5If38qRWwDohDVkIn4hzWOPn/9
h1IkcmwUbJkbXUHOmCx74QVbWT79UKRdf7PP/SNr0+s8zJr6f/6L0eGfvIppUVMZlhQoiPh4fnyV
0kPpa00AAps8CpNVTmwY5zAzxaVnMvmKzLrCki2Mk+3D52mLIFomk3fsULTe6kVwk4TOlt4zPPW6
jhzX0Kyl4fDESYxQX+p+sO9Fum+74Bx27q5ojZM+9TfMd87llIOPMS9h5R/0KMZQ1fngafTSRXnE
Oei11rggJ+yLMRBNwDKfL9KtI5VrP0ILRR9LBgZauA24lT2+f7CxQ4wwQdWh16Z06/WDDbcQoUU0
m7aGdmJxFNOkLPEAPnqzsQvAqvlJpOS3a8iytqEeB2odtCU+vXws46c8N6C9O9j4dr47+8OMr16x
znSuFDUI6rnZRgbGEPhvYxam8ziJUpHzIZJtpVEdbo28h4y/LOj8wMS0VgpzljPb0i5OKbQzP79A
FpSzfSUuIJ937gj4VgrjAnsgQT429rudmcj40GK0d655vdr8ZI2+DSNtzFmIE8pxm8MvHK4DI0IF
zDj26FbKPhAp4b9gq5RPHc8HYk7J0ZNNhnLCAa9QQWCCMQtIsEMorPe1C18JepLKZLHWWoK8RTFA
b2qRVJS+P+47YXU4jVp73fCZQ8mZ6tca7fYw8ugcB0fAfGGSR7bDmvIfs3LS9bfkgxwinfEL2XTu
LfABY4E2khTSkb46L1KgELFcdbmxssvwyUkZEfOn61aKMQMeCFzOPFaYSlCdHNTUBmsbFeq2aRJj
mbmevKqDTnCslvVWmd2ulxmEmEHUN7gvDJZM6TnMknNX1dkGideNzK29Qye68lSy446JV76pX9du
f9dALXog38D5IFQFuXm8Uv2gPvKwXVlpvYq90rjXtXaD6GUDCTMG9oRWyUEEOiCGrVXxpa6b9yys
3kcAe3iiV2AtD+6QbjhACE+ZtnLQz6PTrRBZ7AxLnKbZblp1b7rVogrXNklvsIIiuLsdP5P5xOrq
M8xeY9WrxGSRhw0stroXS4VvyaTkWtVxfUAQ7C+0fjqJVFDGirMq2hUgn5eCP1/dUKBkjr32OrXx
hbNr9Qm5Sg2B1xMMwcqFSRT6wqgzfR9ZJFUZI/pS277md7y12hb2Ll0/8m+PSOMOdi1yFUJcPXHT
JJhM+rI5+mLgYiafPCkZUDFt4CpLmfxwE+m5vRAuQ1lC1B1aHEbpT9rEpBS1Qiv8Gyy4J+ggy064
p7TtbgIX8TktgfCQJfn+wKQS8FMU9HiyqhwWVKVfxVr8KY+NT5AaD2EdH/PEOUStcTP1xioh/zlP
kjMiGoDY5XicbJt1LHtCB0lVGds7nKkrt+L5G6CpGaf+gJd13JdTlh0aJ0f44mECDTKI4n6SrZiM
xtvSZfpcE9MxjVq5+f3Ja8wRnb+e74Jm1iGvSeerzi/nezAaiMBUgmKxBBrWJe5IgMYYo+brklOT
mv3K7ggnz4OUxen0bhRlfVOWsX7vTA7otGG4hWZ90gfiD137SR+abRmojyyOfAR0pMX4EVwnBPub
fOKaTkCk555VL3t20pgLYbjYTrMjQfgNK2+7DKP6UaCdWncGkRkwnPJFki37clnT1RTsGhov2xpR
tRWyu05Evq1T+8uYpHetHR1apJhTnRzKltCwIj85tXC3TT8SGDuGOzEE1rKmulEeybOBjLY+8tNV
rde3cmyZzwbqoAcu97Xp6wQZGcz9q+EhCqmdXIWjQIziIpk7Lks115hhfO6K6Sqoo33cW1urp8wP
E8hPGZ1468CVTiG8AftYW35xQjBINmQmLmHSA1JNdzzXyDMq2IPkY43qqLrEUXIrwT0vOiyTK5Vp
4dIs2PdW1XWIM22VTmwVaLUe5ChLJuThq6vbxxAPHKp9ZvN4KiA5zkHuW6NIIdcYL1E6rlJTLYH+
7litndmPfcld+6SXekdRr33xDDUtCpB8qgUVEyepsdeK+SxrTqGtnoWebHSdkpGo6ZcxFcYyqscY
ko9/MSfLWBE7GC5kETk7suDbx5wV2BEMQ4Uat0/3v79Uf/WwUogoAmccWziEAMh5ZPNjiYDOvYfc
k5KpDgLdjA6VaBe/f4WfeRv8SNNGKYKtxlKoThjz/fwKOOyxLLq+f5UoWJvqgrRrFxa3VQ+ls0qW
oSo3brT+/WuiQfnpBvzXV51/7x8KrLZgQyBNTTvrY3ZnodtGCZbd8VR8RuAxQuyFiNM41pPyTPBl
WbxEtEWjnPVzIH2YL7Nqes41+xQ2Ul+SF7VJ3N54cwJps6SJHhSd38qPx6OdyBfFEOBgJKZquZqy
nA2gna2dQitXRkGajZ2N474dbPMtz6Jmgy/KhAEefk64VtelroIVJ/DIUkHpS6Yrd61MJrwjKPz8
TuxT37wOxuYLPoMdD6X7uqo2qu5rRsnRztQDDe8SFUrSZ9mWlkhfluxGV1VvoaIIh1sRZKtZmE1v
5UM1dMkvqruPsmZbURfhvpLaDqfR/TBFT1KPDxZjByQzFGuhZ0IZakIWAq21j6foiNlolY2eWNHN
EZTkxZyy+lM3ayzDKD07wbDNKpa13sQVzBSg8dNlQPucR6mzKKbIWVWJdy5KZzlPdoyc5FvHH+4C
BmGLodCwh8ZYLUxarMlutloRApNs81flM5DS05uyIEyzGRo2JofOIpK7s0zWDw4nIl7UbMQS67Hh
AGxwVYClZBpg7ZF2vIOwgw4H+Le05NYv5MmG1vcfLrf/dI3/stTvGYZ2oGq1c3TKrv0rbcNo6bHf
Tntrp04Oj57lZ9Ev8L2cs0/9t+jZz8N/++9ICZPRz7Ofy/w/vdRBxjApFbbhzm/uh0vdKAIniwmL
PDOpWGQnsSw2zDmMo/Zkb/S1/nDRlqenbk04QvfKP5Kr8aQvDuHGu4Kznf6Hd/Pzg+/bfWfig8Bh
D6eU59/Pb2ZkeQUWKAquAv2aAFRWzE9V90398m9/45/PrH99jdnp8MMvPFVpqwVBEvBwffernTve
/P7P+ae/g414xJ6ldKjcfv75BBRM+LpKHt7adelyP1jUnN9OqL+5fLM39ferhFMb1v+4vCE//jP+
A9/+fZ2Ao0YCVyAZhg3jN9jeD+sEWNw6iwMadfOrXud7Cw+Hz+V7/ujguXq+O2ro7lk+0HkDpfoW
kf4XFJA/X4UWiyvXcPiHRL1iUNX/chVWWIFqU9k+GXt0CeIYIqn74aP5kzv7V88OV7rrAACEjEMV
Sdr7rxFKqZHrbpGMw5Uf23tSwt3NIERUbex0OA8mEkkseWO9ZfwUrZVWVOyueajdCVTH+coBYX22
K9ut4cR45Zk8EQdudWuq8qyUpg9rWbejv9JpYKd13evrvOj1AsZBmpLCgfpnAJmzRbEn8OeSXcZ4
rFzXeR9tTUUJlXXqOrIzf0vNjj2GSJJtqPlI0UlPizTsQ/2U3/EcDT7SCHmPaYQegFuHOJG1m4xS
gKRL+Le1AenbWAcy1c27JitwUBTlUN40A+8iLKfNhNVzoQ3Bs1kYx2AICElhxbuI3XhvduW2s9Wp
b5WxsBvtqg26Rys270u3vqvi6eRn3aOy0mzhKDyBcShPJWGVCBFPQUDH7/vxHngo+cuDOqJ0x+vI
swozJexZuh6dke+Uj4fK0l+KKBqXkNaB5BOEXIUq2jGmx+CgvwWKQiAoTHspcT3TjBvvQZLTbGB+
GnOqnsYNEV9IYuiaYbC2melNx3Isjp2nbQdE741G8g2ZDdUqNHHvTgWRQ+E5JcN87ZlzVYqgaZqq
PW6L28AqGQNnFuIkLWY/QYCQXxv7rB6qdRWkd3nVHAOY/uiedPV57GLG2ZVPqqVQmwHnwmIwwrWE
ZcHeIFulnbcfivJMd83WIGKmHBPvjk4OGYQfWXeWHImGGHAo1BnY0sxzxSr1JNzYsTmXqpsDVKp9
B2Fkmyf6u1TtFyO10NEmKj2aLpB0tt1WeFNkDrzHQYZMkJD0sETUDm4cGdva0T/HWrCfFBARw35o
Am2bBPhjYOmzXHGWrWmcIAPfdBkYVpgUUeWtaduWqepjIvbE1ukbsSpNPngrI7RI756MGWNbWD5K
BPcTZKgz8gTETtVwsBL9euKHdkZ2TtGeTRJxSqG9itp4RzSzh/pxMj0kaPYjsdO5Mx3slBwfC7lb
ZVsP5WSQMkciAMsIYinZ9afxyRLjte+RD8tIjfSK2H0Bp4uZHDFQ1RsnV2YoGuSlxB2cEgIYTBhh
ranc2IF27wz1g8QVMvjxsLIC/1p2yHSoBueJWXhs8njPEDFZTJ3xWGjBveOkD4iuF1PWb+ZVl7CH
Q+lqhwEfNZMNdSgjd5uQ9MfSv16ZudHuZSubW9lHB36/oxXpnxjWo/EzkxBzSUVMpFngsZZDvBu0
VLyAy7SfayeH+z+Mo/eQNl58O4D4ZOuZGGtZMbzSwoa0Gi1m4zLb64NmxDYkUHf33BanroBC2cpZ
BZdUHQMG1EDzHYaXIUf4NG90Ss95m7CpEVChHjWmQOuuVmwjC4jdCVa5Rro1FzNm6G4k7RG+pA+2
xLptdLSRZkkd6nd4O6gzjl0OxaWI+wXmbGIUihoqsiuflbqL+MuvylYjnGIOy3VYTJ49dMzrYaK3
w8bxJn0U66ocA245l7+RdU8Ee8znOMYIH/0TienTYoy9m7jJ33AyLSMP5UpEX0dGyR0c5RfTLD7V
bQz4K9p1UfNhV/2FiWtELBM2DLDQL/AONoGyP7HxpX2tBf3jHD/WM81r6sxZRPZ4qj2L2MlwGSWE
oJfiCyF9w7ZA1xVl3UtneltLNrhmiEcjdWRTVPyZ4x6Mn/1kZPUjkiwkeDmaoSG6G5LxlLn9rimR
emt99OSjKAp7btFhOHdeumVAxH4sUbdNM10gw7zQv1/lkVw6siMIrYL2nh9Ce+o2naRpHnQCgaW7
zlT8Cb1cDTJIbWVEjOpAxipG+XDv14hJAzPD+W+pOxxofIKJAUAgs+9RzBwaEzMZzNIXngQsXHNs
Q0Ds2ec0uzzy0dmVaB31amfRFnHcrFjSnc2M3z4N7BPGvR3tyIH8rRe36FbelC8L4hMYuezggQJb
9aAmCdKaHW1l9eGuTUh/K1vvVW/iA5/1Kpww97vCPch2vKnJV15GsmZuqe0qS33ydDizLOhxUN55
9HZUtBP8Q/gBKVlSuhw+PL23GClln3RS2RYCYa5rJdvSK+/TrJnAAOS7zu/KneOm48kwsIYKcSKq
9pMCRaFX7PWIdmsQ+ukG/m3ZXxOdyeCqwhgRO9UzuaGMM3Tnos+pn31WlsfasH1SaJgvWkp9DhPE
u6Xua899obhegO+s8VV6C1OGyRdiqeyVMNMAgSBzd8yg3sfvi5B/KYbdObpIKKoQ/O7QSn4uho3Y
MtIUIddVRNcbP8bum7S2/38v8UuvPnIVqxgsz5VejoD7Lm1xIRr496/xs1tlrqS+JjDNEQoG9hHz
l19DiBZJrhv6F73nKW9fpuY0DPeatvr9y/xLI8jLsFfCsGOCJ2Pu//On5efRaNpx519auLgljW1N
OqFWPrTyuu+MharZW1qHr6/5dyshuBD+fStxzv+Mejl/zx/9g/1PB12RYGMnYXzMQMzv/QOthSLD
S5fs8ZT+1dz0vX+AH0fLB7WHFeH/Lg6/9w8z/ZvOlrsBlRLf9pdWgPCBuBh+pF4yFnakYv+II8AG
JPLLNVlPPOhbq1VXvplNJzTBegHjwQlKSaQE3OJpMXktY0MNomNCOe/Z+XnUkXSv2zBihtVYenJ2
2lAnn0f4vIa/rLERybWntRJqGVIIkaFT7S2YZz3pPP5T3+IkXk26T3Q82EvNLfY1Ct2CBE1LDTdt
ZOOuDDS0fDay92VLmqXQW0amWKebzHY4cBEdlR2DTpy/aLN9rd54rX4fZeJcZYrdWsoKZtRvs3F2
BlPyLXJ0/UWeHrPSOxn98Ij6ndmqTeFaFCnl1z5JfVIwfSqf/8veeTTHjbTZ+r/MHh1wCRNxZxaF
8jRVNBLNBkFRFLxP2F9/H1DdaqrEj7o9M4u7+JaKbjIJIIHMfN9znsOuOvISm81pOtg9OngYAq0/
UbwdprvMdo+aSgRCCjVFaRuizIGULDjHk0iZOXtEH1/1QQ7LqO3u5SBwTQbpWRapLCXFeCThcsQ8
0FG3bcGg+TTzPcOehiUK4BQiTw7IWkBHh5a6onGDHLzVYB443VdUymeYXzFXsvsBwal9HeB70fBr
1rQ0CbYgUTzTUvIZ9NKLQOrQ3cxgnPXn7A1ar4s6lA6FccORal3Zrb72E1IKFAgMPoTynRkC9hvM
4jLWi2sMVEQZkBhJdSwkenjRORXbZWDWbfoFGTWUmLBDIomOIU1g/5qK15XB3vQ5LJUOZlB/YpWS
Q7zA85CsndEGA2DIi4wsmHWSzk0FmmwcfO6QhBJPSA7KxkA4vlSs4DjY1NdNV3paJfcdYWqLSq3v
ggJMypSIs3HUbmQwrMCHdzTHNIIz4mtOWOfkMy4TO2oXljUhiRIsqKWp+Kzcfuipg3tURWGz7TNe
ilRrtloJq1jkBSqtXG5CjkW5kXyy2QsSLrlAS3RQwrIE84ZDy0xdzoxpDP4A0Y+N24X2casaD2qJ
Rs6OBdi59GZIBGfcefXwQ1grDj2JsYmx8at6eEbDBLSSO+HQ6/u73NbnNVreDX7/WTObW7PhQIIj
cIMP4RA3AoGHszCFxK/MVgn0Qo8ACslwlRCr4WAHNmR748fYEAowp/SSA7ZAZrCtZHXdWtND4gSP
0NKJFomQoBAUUoE9MjXPVNtPXaRaBG7RBS6skB15sVdt9ymfHM60QaV7eqHdUEdfR7V5WzbqRjGK
Y0/uFNFUxg3LjbN0QhXpOTnUQWheRHaJLDZBchSld2Cq8g2spyfiU4ctVKht29UmtUfH9XKFuE0D
MOBayvwBnwMCnrkznQ6Tc+ZidwAXiNlHneoZs7/Oeqzavp6aK6os1sJS+nXajAdNM19qUqQXRU1O
l22T9emH+zoz0pWlDS9J5F7HJsIiy2B7oqXklTbT+K3vMtyOHX03Qj5MT3dsB46OpLFoU2z3kdlQ
P2fqoJXAQaKAriij0avGQnjIqbZJMDxZocxX0spzFEXuRSuqC1IDXxI5GMtiwB9Zz85/AQKAut23
GiRAUETbcSoe8ldWANAAe6YHlGAE1Jkn4MCrXeqtdW0OurkLsFcu4PHTL9XjC46ne9jymxFAAdqN
K86bZ1ka70JZ3fghkv+ZaACP45zo3gM1l9tyZh4Y41ihsYeD4PJd5NsIGwHPIwJ2aAkx2IR85ifY
M0khbfyFmNkKPc1YL+r6z+7MXWgLHJrdzGKAMPUwzHQGvBIEC8BrwK9YeO6g05YG5qD3L/3MdoDO
Fq3y0SRnOHsYMPVsNLe9STkO0xYuPr+SiYxG+ayb4iUEdMlRBvkTSXs7tSmeXd18nGr1W6cxGcrc
ui1rHhiVbGMpUtnwiciJTMrsYwelBT6Rhtsf71SadpdCSVBtsuNsw8MECWotzLmo3yn6YoJcYqP2
XYaOuiPpIYKp4Qw7s6coVfr3oU0nsE6jl4xMt4VvEsdKulS+bZLuEycI3Ev2QFjq9yyJf++SXrXb
OtuGj3ZJX4vnX5VS8w/92Ca5f1Bn1KmImmBHiQn/e5s0R57C2MVIRyEcdBA7qD+3STgmXWqpro1p
Uswtvh9V1lcvJXx/cIguxhAVWOI/qbLOZdSfNkkmmDVyWjRCL1CJv2qc3hT7q6IyJW9YeKwApWKG
fLVzC/ugYfOrZyjK7PUGeD8bv9sSOy6Sm9kRPtIqqtfU8zR507+6xlEYbvFGG/4TBctYXfV9niqE
EZrQ+rUwHrVVQAuHGkySR3BxKzMkO0sjv4puyiSmNPLSxvVnd3JuG1CMRov3F3y064z4NFt7op8Z
UeaxAYigzYyFwoca8c62CmoWsXxWA1pVn9aHAMYJHmMDs8UqcOCcLBLHgmIjW+VFRK78fr769wFh
rrl/MPVfcub+u2z8+Qf/mv6wPR3wmI7Dhh+rwWw/+OuUoJsz0gvxs9BIi0D29/f0V4n30zlNut/f
i7nr8dcpgQME3S9VpWCv/zOzsMVveTP56Z6ps0mYcwjWCdd2T3vnNuU1B1yBctCUlKkWQWgypxe/
R/KViNRiCqlr5D3repz9MGpU1tduneHYsjvFQPRc5DZwaZeatgvfbtk2Wn0H6scen4XiSNwFVE/0
GZQXVzM8T8dIEDTUIZBNmxv8EvVimCF7VBkGTLiKu64h8FGiV5+DCihfpQ/luphBfcixQTzP8D6C
7oeVMQP9QNDXj+Ur5G/G/U1hJ/Z9bu/juDYWPXAFEWZ0oaEEtnr7JRswOXUzQDCdUYK4DdF4jRd0
R10wJ2IVumZ36cwAwqymHMunx9gAegaCPYMKazLWODoFLMRusnIgPyz0GWw4obRhN9wc4yYnLXSU
6QMJe+ONprFfwgoLofsyqoIQtbN7FU9ox0GpcsiKCZ3roSCDLmsiJP0OTW5TpnLhdEAY7RnHKO0+
2ueviMYZ1sgWRF01rwRHTgn9wpmxjlQp53IuqEeI3yS8omqOZWF4MjLJ2gMMmXTFcDU5wCJJyk2u
BviRxQySdGekJFVGfiiZpmhNoQK0qWfkKYBWSp3beiZSouAGTomnxVnCmwJZGYfEfqD0L/0bwbCb
Lo5LdcXEznd53XWbrAEm6VuKcwEEH2kK8OOLxOKH8wuNotkV2H48hVT3wtx6CmrkLn1DQ0cz3YeE
UIKVL8tvqptlHkbx83TeazvxeEgRFJHnmn0LEa+jM5AHKt2E2RE44Zm1kxCeywkHz82u7ip7r4tS
87qY9ISYg4WeZRuTjtPGrYElDaJl8z32Ogrutuz5A6Te0oWpu143LzpRKnsKLCBEoVIchWiAENUI
EFTK08Lw9IYUpJKi9HldubSkmGiAoXtrXVeiOrPMolgqRQGiDPUDSql2Q8rWY9qhJFUHzSOEr9n3
OG8XaRdobGp85xI47lrJ3K+60pxbcXZVtLgJAXw3pY1QRlfKy1GJxp1u0XrDfb1VBOWlTIr0Vo19
f+U4L5Kye5SiKDLt8zEEMY3XflMNI/zzac01E5Wcn4sse5w65Uxo0XkWgvGJWuFf5A67wQweOi5d
4urHIdhVYbpDu75NKh4SOdH7so9Q1cS2vwDv9RS0PW+gFR2GruhAeNK8VmSXeY5beZqV7lwpVk4N
nJ+UxR65HVbvb5bNJk1m63qy19gNPbVrCjSF6nVJ7G5Yxjub5C+3H7xewwhO0YGs7CH95KTqQTfb
TwRvsP4lbmEBFiQz13emb2WlXePK2dmkQhs0E6lnG2Rs0X9QEg/n1FNoGRvMKitCK0ui85xjk+TX
TqF/dTk9LbLUeJHueG3iSV2CQL8Y6QIqCanRPGMUUfBokZEh/fK6SSVqw8+eAXLc9vN81JJ4V7fh
ES7/IcO8C5h35w/F1s4Kjw9p4qVCvcry4XKsRk9HJJj77VLh/EUa0GZqk62NCicr463VDGtFzOI6
PXq2iN5IcRApIGKT0Ca+ojjkpYpnRi02hK4hZWqDoy4hlnbBduCclhXKeUcC85hGGOsg0CcDZ5rs
G5VDz+c8SsHK82XKeeql8NvrQWK4cdQtPbsFFtd7AdetmUgCMxlD1jQW9QPyqptGWmsTa4cIBg4v
7py4qC/dFGJp0aubzKw913eZgb4CDEVdU5T+NiJk4Au3BnuIJ9RZWg6eeKwuO0ODZzPV96om95Nw
biyrvHdC0ju78arNvuZj+VKpKjLhgd6qQaSAVa4bf1wmgbkK1dELjPAK9sNF0RnXug/OUaEMVdM1
xeRVqupWcbut0+CjDdObWBTnkjzSmr/U9vGOWKKkTEWImNqueRUvG9dZa0azN3y6rEO1ohEzkP7a
LDljYtoy9ee+Le75VXAeiSAaG5MCAf1KTC69R9zdU5M3Xu4oZ6ksdpNicy63w0VXJ+tQYZGgtVR5
sB0pJ1k2rIbuLmvzRwnneSR+FEQnhBt4y4Wst7nDAWnIaLIJLPZxd9/X6l1Rx9e438CWDevIb7l3
lNdyubWlYHbaGwRJV3mRnpUIGcl8uUkje+sM/gG/1S43s33nawAJECHlbbTO0vFY+jMBrF+UvcMR
0z03tOGhpA411qiV2Kt/8mvCMuvmkDfiGmqxunC05qYVYtmVnC1rzC+5SM9TERCCVqnE1wcX9fyh
mor7MZFneg2tvwx5s3tg973X9POmJ4dLln+qy3Gv6cWZopvhQfFV/wvEpvSmgWDjTbrc18i7Jsoe
HVRvRYm/ctb7FMsMdBhqTKzp8oGy6kKfHVcF9OpI+2plUDVkdZ/U4Y7+xoHvLaSgOtlofXOGpZ/3
MrUTb1K1h1A05do1ktuslqQBDskmMbRjnGBZTOCY5KQMr6kRbP3E8npdyVYRLZ8Oo4Id9IGnjfoy
SRF/hvlxCKxN7A/7gbpfqSBsb+InSQGvZP3jDWiAOnb2qm3p3YZK7sFSpLlNhE7KIjG4+bZTnK8d
UBJ6U5ugs9fQMFZ5UfL9acDaBcO0HrL8bJTBWS3FLbDQ2dtfejmbexkBRAl7ZZ/rJnMdUBvt51or
QFjIi0npH5q6fEatik63calx0Hsz4UFkKsvfmy3tOxqRk/bM6w7R0HTcrERVuu6p3kr2dY1+IVcO
aga5kppUcq3Qevx4kLlr8fcZ7Ps2FHWZpqkEzlJSn5srb85gQFdVC+6tchicLzX0x/ZhKGAWox74
neTlvQ3v25FO+ieFX4za5DOS7lyGJiY+m/zmaVdYn+P2MSos7+MLe/fu8TZhj0GVBvD05wvTgVk6
floEx055lO1ZFTznKafpH2eOdx7Qe1fEbpnN8py9hfv45yF8KhqqO5bhsTNBtm9abHFpiIo52ETk
Qury8uPh3rkioDAcWpAeQY07bdfNAFR9VGV0jHJkmQanzFmf85tr4th/Oh9+GmT+72/mQ+MrUlg+
g8R1vZD1OUFPy//ZZcyX+WYEQqoldldGAPhqIcNOilsfeOzHg5w06+Z356fLOHk0ZTImZZc10XFQ
jAUlYzc6wsfhA/cg0LM3Bx1qxMcjvvd0AA/T6xEWddxTZWESwaLJYy062tUVPV2vTHf2P2zYvl4V
AEDLpEml60jUfr51vjAAmXR1fCRne5VZKMQKD4zRxxfy3q0zkEgKkyBTW3dPBin60LajiC5tXT7k
1nnISRFb5ML1b+L2zASg1vtXH484z6mTbxCfuL9HPHlYCLYxeGgjgOUB6W9zR17Ubz4G2s9Ph2Yg
rj4bbKKOOxDF3akWvinoxISDlh3j83ondyyeF6QqrMRVeC28fBWtHU9Zf3xVPw/5+mX96apOvneg
s7MB4Fx87CwU3QGkfly3erH9eJT37x1tfJWVU1ji5GlZk2bZEtn60a9cT4el68jf3Lv57p8+HcDn
zDYa7bZ9OrFLEjPBiyvxEQXMYnR0dpuPEcAuFDa/uZb37tjbkYyfpzcn4qIGrhYfNarazpXwb6rp
N5+394cgnlRzcYjCzPx5iEhLOsecguSY5wdB8W9AvUe34DeL6nuvEJPtxygnjz6pO4RTCBCPUfKc
KjhXlFVNKZ2GYSKPSrJJxW+e0S+XBaiTuDLzVf2qAS36+bLI1rXLzC7So+w2Vf3YW6tquv6HE+1k
CGppbz/beRdwQ0PgdhT1F5oSLMdY/Oa2/TKXX4eYYfkqGx7qbD8PEQ8DokJOWscmfVamndVHvxng
l6nMAIR4C94TCm+0+38egE+njRN/yo7s87IW4n28i1Br5e7L6736d1V2/rz82CEtn+TTnz7tSzL/
/vM/HmAs/dqPmH/mR0EWVAy6bqAvCKyR0/CG/yjI6n+YtAH4VHMMZ3+j/yjIQpFx9fmBIf02NBZ2
Xqe/C7IsUqqFlNpFuyFIR/oHDQmiUZkAf3/rEH6zl7NMAyQkKx84Sf6It5Nc4lzKcUgPh1JyzAZP
RShefSt1Mj3iOYBs0vLiNuq09KDLLLtp5qAyRdXabcvOloYCZwuw3qgoTOPSsE11JdMMYpgdvxhI
Fj3JBuIsJBHNbXtCzOaQtGSOS8NCRZhBRkCgC6eetnWHLQZOhyRnrSO/8pAFFetuTwibFtAKbunn
rAIOnssGf0yGbmybpkD9YlKAQJHsDHLdgoqAt2GOerPm0Ld0jn8zyYFTVKvfuiTD5XNEXDWHxYU6
sXFyDpCjlzyACElx3WmOvx5U6W5BqYlD0OtUnzI32/alDY03MHCF53P2WmDfFwR5zqY24Extdt5W
4yZxlYdeaLiGi5Y0UxF7Iiz3amuuEjugahl0+6RWUHg6n7mbFwU6EgypBXVeq80WeRI+is58oiM8
UPwo7ggtupvBVZzkA3qLQXQjTc6ARqpYCyPXyFUMyO+bkOopVvZiBNRPh9zaWzVmOyKbIJER37CW
igjWod8jbxcTnfIUlbpV3hSKf2mm4xdnwrGNRpUrMb76Y3MEWdidQw6m5yvBAVe9cwl8i9KsP12K
gkcqy2FZjf0xyYwvulHfTX3yrPhlvSjCcJ+kw8GiboVlkYqWNtcxlV7fCfaPuLMHELiBe0CNLT09
MylJWefFkDmrwjboIWvhQxlMV6Zpwoik2KEMEzujV5+kXwye5VSJczCoZRtfEH+LcWdLEiywi58p
r+FcNaC8JaLzZhHa4kUh2gYQhslne1y/puL6biwu1C7dd3Pylz1ngGEAP6cXiFFu5uT5qobPWYAw
HwVF9wp4UaNM+nUtBKU5p86JO0qeK700SSyKRtgtI3qJ2MX8iLPeSiZuctT4O2VsKjxhlCN7XnBP
ZaYaQXmd5jl2rsjcDQ4Fo9lkcJuHPmwg08Q9Rl5CLeKesCMrW+p+T1qgSvV+9F/GUd9GxGnuEiFu
a+mTe5sTuZ0YHjCGS6ru6Q6trwWCh9a6nVo7yn/mwZYo3Qenlvj5I6TytXnTJZiTfSnOUWCUFLFH
1yMtaF+nbbTXRoLGzJRsjCLiKUnXS437RvMPSh8Aaadzb/bRRlY1lQI3qzcYPGlW4sJ2qvRLmIq1
U5S86rwmZWnjiKYAXIbNHtVTuUsUdC5ppGkHLNLG0sftdI2MJNjnJhVNTqyXXYVOInatlT66AE9w
ti6MDpeDDyh11CgrjVWZ7KtxchatrvtbtZJoOdjgbsbAd5eqUjW7ssrPglClmBm0xh6i6IR6XFM2
ZlHhBKnKK0uBNz8l415Rg/tSyYyjHhMiydcPnmhkul6YlHuF2lIwBP7KisuHimrrtybP5syR1ryy
4/hloqkCG9I1ZP19nf73+mmw4Pzr9XOO/V7XT/lz1Dy/s5DOP/xjIdVBF+MbMlmyoENq7EB/LKTG
HxoNyj/58a/Gor/0jzYLKZ19mvc/fuqvhRSkCl19MVva/7n+8eeN3OsyCp3FYps1/1JTnZfZN0d8
rBiqE/v1hBT3rnL8xRzS+ebGHL8vyW+dkT8v1PPhyuR3sH+ndaszxPwXvBmBfE2rHEpDOzQcGcEQ
CzwPjaDm95sjyc9X8us488b7zTjUhUvec6EdxCwYqM97++vHF0Lb+O2W49cRTs4KgVbl+hxNeNAH
G4LVJ9v9Rr4JPKSD23Yr1Kxe0z2U7DCio0RXqUUvJJIHdCSKK5nfBD1mA/pfIlg5FNMDE53nTZ+F
VEH/BJP/S2umNm9+/t4c/fqXnuyejUjxqUnO9wLvEpT2qrxroQOA3z/09PF8Hyrz+M1GKgR7DVfW
n1ikf/kHvEZdnv4BlPKEpfL4wbydnA/wA2uyU+3xgCeOfrnm1lA8kWtLwhDNis94TMDvLnbQiwI/
Fm1/raU0zXqwlF6nKpNXC6CAetmqHclE6r4nbLbepNm9nhn73lcJdNaVWPs0GBk+uMRFLOjTSs/j
eFVb9a5sSYXtqjW9smUnRxDYh86KVrDvF0WFBcRC/4QgMtOPmOFQzt43fko35rYJnAtiuGhkW8sO
So9O/oYhYFJPKQHyJYCQW4SR1dKirT9VgLFGzWu1FrFVturL7VjdNzBpRwpZVZ+fadK8iuOLeMg2
XQ6WOxMoMo3JINzuVprWEgcH9ZohWIgoMJfk7RFF5GQk5yTpgyRqKMsmGDXCB0wSmOcfT+ZfCeh8
d968+ObJ69JHbhPTkp8O6sbY+rvpXN4ZG2dXHyChn8tt5dUr9IjeuDa8fb3P1sVyeFB2UAw36gZA
4zq++PgPml+e0xnz9jNxUlEwgQ7Z2TxlcVvhTsn7JVsitG/qbz5H89T/aJyTD54TZVMahoyjkLp2
O3yt5javRxSn5f/mpK/Nk/x0qLcvwck53OV/rg1Mh4fQ8OIj3rJ28GriCZsV+ZvBgd3tx7fwvS8g
onk4Sg5SMjwW/D1vvoCZlQ22Dc/g0GMwz6cvnXL8eID3PoBvBzi5dySa2xQXdP0AsaOF7N4rXjP8
rs3xu0FOvrLu4FrkfjGI251N1V5at7r1+PF1vLckvb2Ok8/jyFpdI6vQD9QfvCHticK4hgI20xRf
B/rf3h1dRM910RTf5P+Zf/NzUY41aEL5Xz//s/n+b3gE83H+p3/QfY4k/eCXerx+adqUH/3+rZ7/
z//X//hngeCWjvJ//sfTV2rgy6iRdfQsWV5OIW/z4vivt0e4QuQLJKb3f+7HzohQB/YwsGgJZkHh
x3z+sTNC2GjP1SXLAhT7SqP9a2dkQbclNonyJjVb/oq/tkXiDwAqLrVpjD/sZv6Z6Mue6xtvXl42
Ri7lCgSPjmFQq0NJefIylalJF8yxLjMDG16p+uayUO0H2yFzwW7vCJL6lExX/gyar7SVXjnEAASf
/HRKPLQxBgzuBE7jeGGdx4HybPTJp0yhZa4ZdbwZ6/yLJdFqjX2wK7N4qwY5wui2QEZWkzcMHNHT
Ve1RIRXhiyYxBXPa7VfIun3SCmNCyWprC1R8n/c0sWIjvMvo7HMyepjo/qelU0OhrZ7GOLlyQ+Op
trT7oQP4jwLkghSpwhvDpFiWVXzWYj1fiKzo7kbVeYxwrJ/l5BqvtJ7gYbWMPyVt+qiO9rQzMyQc
RMmgwpq2U6U/dk126eakG1v2jVtvOEeuKrysC46Dn9owenAiZdurxV1TK8He1sul25helneXWgww
KR0vhzG6NFtwmGM9Z1SGX4tSHnDLEGBn9Zdu1BuLItJ3ZrFGF7cguh6e2s2MIUEhI5OHSscnzZ+4
mWMZFlLrlqmJrkEKgNNJrNO7N/1FIZpm21lu7vm9QZ9aObeyot8W0u6gkbSrvohR2FjnxLVN5BSE
+DjSlDpK+rWms7yUelMuwlrd1NYUeqJrj6PjbtUYfYgKinUT5mhkImRkac54KdIOQQKIa9dfgFFG
8JdoyjjTsqAnDoWTEISWSElJiad0L7PSXFoxeTnk7Z33QQgyyl6CdycR1ERxk6qC9LEQQXuAiobY
BYxraYINPbWbxosimXkYD5hskYs8KyM9TtpPKLPAnEdy3TYIXFTMv+gKr3rbajxbo5tWGeQyx5Vn
VvF1ruERCnlySml8EkTnVFlar9jHO+eVou1Sp7go4+Gxy4bPYdN8KSsHCHA/+svJsrAHxG2MpR0j
RhJLzJuyWHaUfkiJmJPlSOONwuzKb0zDS7phi/y3WGO2JNBitPpFwq5Kj2LQ5c43nsdZUZYHExd0
YqkboaVIf9AQAe1BsJMaWIjzR1iHZ1LrL4pJJ/1H5nu/kecqkel6BsktxT/qdM6XuAl2bhiQ9KkT
9uA0t30T3ZSt8ome9U7Ni30LiaawrF1CWrOi5o95k2KnpGCHX/XcNOozoy0u2i6RFDqgB2fdZvDJ
/yATIp/6bekWcAroDowmauJwH5jonurROCvhXvWNelRDM123U43HQt73Nh6NxpywkchD2ZLnME72
HhjztYjKsyTqtmaCZRvAFxvhDvyWWl8EpY2iqUPtONoL9JM3TdHcYQE484f4og3NZRiM17magoLj
pU/SEMxxdAeWYiOCgjiWyNmR+7ixun5ONpY4eAHV4q+7MhFgobu9ypQOUoFawYLGjeyq98BtU89R
03Tp6u11Hwpcs9AGYbvB5J6ye5TVW7vFm0BJVae05bWoFDFxP06Ou+mVfiVdbClR95DX0AmE+m1q
gpbkVbxWjX8fqfT5FvZElsS1zgrmpQ6wAKougm/fYBh7wkWhEFrpmRu05yYsiUG2cqEQuBKG4cHs
0jM/GLGVF8FFT7zGKnLzL10kgfnU6aWiupuqcC9riGye0w/rrFK1FUfAzxF78gEso5Eol5of30zz
IzQc8aUka7toAg5r/ZkWKHeD2h0M+NoquzMM4gSMjv2TrmD7isoAhVuF40jyLGpNrPM2iDaVQ4nI
MC5GF7ufjOptUsSbJC97qMzaZ+rl+6rpFmAtlqJRrroIKrJu3toBMOJo+oK3/GaC93yei6rcqYF/
XWb5hZKr/sKv0pU5iUettDa27i9MoxfbWAIi7AGBb2fAta4HLwmOGKTvhXo24lnXNCxCmlaKNUEy
G7sSpHCnYenplNAWVqBum4yzTR/dVFgbxza49etmmytY+Ya5rExtjGu+Ja3+TlZhtxvMYzLzBNTO
02OLvJlswPVeHHoZ3EbqBKHa6rYKXCw5cVJorKsp1bZ14HJr2E9XdQ6XYbzqWv0mSQuHiASidJy6
ByCg9VelYV00Kev9Km0UPV21fRV9Flkk+fhb9pmeczDNnLRbhxVVwQoFbeR0vJ14MpFKL6yaSxrH
cotBZmMHuXuEZemg8uzy1aREIOw6rPBB1wGXbrMvHckT8LrjNSsMQlq6FctSTwnYCDxRyK0fEqM5
zAkxRed2+zgdOCQr47e8hunNW7xIRmhkRlzjFo4GZyXS9K4DwYJD0Zph0E6+1kKQ5GSWWACxsuAc
XWZ5yCtN3seaTV6DmGpl3Tq9uGr6HCq9MyGQ7lOTYOYOONOq7KeUJoVyjgZ7T9n/qDvJ2hzila1P
n7PKvw6q+qytMC7bRu7pKeHnZL3c+z0VekRYq1prQEklA7EuPtFqUn7pYlLcEufB9I2LrkcQXEZL
wI9r6YNTNppb1IDj0rHDJ76sn1Wj3qJgP6hiePFj44xQUwEPFb1YhMupUYz7chJndpRdgK81cARl
YCYQopWo6FqWaKwWiBhr/xBj7EzJSKGqHS3gdOzKwDoXQ7TVahCbSbnLXJhbhZosIxtItRUbV26f
3UiCn6BGgPDL89scbhpWzOSMEu9OVZULF6ceW6GNPlQ76bsbJQl3gV2dkZh8R1OIkAxtXxustIYD
I7R8xgi4ipPgavDZKYyIGic/XNW4/0QlXzKSjZQcgjyTboAB27rps2Wo4ILcfFeo0XVNfpalA902
8fMaGfGvg3rTzHhsSZqHB/B2MdoBYSr92u+CpevHpPi5DRn02jZr9Xv61F4aa8MaGjxmVkpCPvMR
LmrF1z25p93jwd3g4FeDIk/oPLVBCoow/kxI3sZwpqPaQc9NpHY79traiMu7At8zml16IkoXffXr
ovMGCP4rGRqXvVAv/cB4pONjreiJrkwySGIintxIdSk3QQ5OppdyFJeyhFLA910SCsZkCYpe4KTF
0RuOpbbyR8s5FFpBPZt+QIr1JZTqVWoq5wDN54RbY900qNl9EWqLukHZFo7Wg+iRjLt8aRAADpj3
HXS7tH2g3F+VivUAF8lfl1F1r6LF5FjVrpOmIyGt4aodX9u686enQl3cFW64DWoaO6JMLkoE3kmg
kN5ErlGpBdVSR/m7rOoMZ9wAknwk+cvkX2MyLrWuugmiodyQP7jDIwlHRbbQXudVW5j3g8aLFqtw
TSjxoG0czUstiS6TPvHM2Ax3djg15yXCThKTjDtClIJ9X/tXbpM+INY3t/PrDuoWGU3Oao5AwHhw
Qgkr3rzCNx2du0YOqb/cBaV6qxMOPBVCRS1MTpdaLFVQNFWgEopi1otAZN+IK4NrYYBjMpxbCCb7
CEdjgv25S3siC3V5P2rVtTuQ35OX9mWsBZeZHa9T2xzP8iH+XKXugzkY14jnijNhxPmqDaxirUvz
YcrcnTtDeGI1wnPa8YuVSlsXWiSXZW52W9KucHa8spwCc+Y6DVqsc4yowUqtgBWbwJ8Sw1JW+nco
1JsT3/F7neNt3ffkHD+zHizXAoXHGo8/5xTCoEeqOuh6Hh3ikr59ftFMw8I1bz4e5OQk/+cgEJYB
xKH2tU+qRokP31ppmoiwsJ2SX6ikdyrmrexvPx7mpLLyfRgq2IIi/mzwPSl8+DTKOQWobNz1b33x
STF+ox995/dj7iN4xZyFIeL0XjXuaBWFlaWHvGeibR3/6R///TQgdO4QN2q2Rf18mKURjSFdVNnB
4dwhjsL9TTXxpKj2y/05OSyDLdbAFXB/SHZWMi/R1rVNQXMxvKTx8uNLeWeomZY6q0MEOgP35FGk
Dv5okGbJQY23iHmluigxjpseyzAl04/HOqlJzpf102OZp/ibgpqqRVlnW2l6KA0PvzFoX16tmfzS
rT8e6L2Levv8Ty4qt2MXDez3gaAAUHkewjXryLwUl7+Za++8l3jYEBHPqFlD12dF1JuLMgSlaBbe
/NAYaz996oaV8J8/vpz3pvObIU6n29QI9kpCzQ+58xT7D6by35jOLtopnK+o3cRr7ebNJcRVKqRJ
nuMh5guIYT0dY+/jK3jnJuEbVC2D6s8MkaEC9vYm5UrO/t7SisNkP/X2ZTsTLuRvvl3vPXQmMd5d
05glsKfl4TAr89GZsgP2CIxaM2FCXBEfUoAGMX4zk98ZC7mMjhKVsj9a0ZPvZOhDcURIkB/C+Uy9
Aq0bwsKuYAhs9OvXW/e/XfPcvBSzFKn5ucb5/3XJk7fyX5c8L59KZvEvZVJ+5ke5Uyf4VpvBREh1
TVTBb8qdOjEZFiInVIGzYJx38q9yp/MHjnCyF6mSUoa05pTxvyqezh8kSsyJuIaY1Vj/TFGFFIs5
/Xe7Ym4FU1PlK4TJEraO+kpTf/NW1VWTmQKA7qEsG6wibDEWtUtQdinGT1pcbfzQeTZ7YF5+2X5R
W/8xsuhdqYN51gg/hcyhfHK7aqmK8UJMGDgEdjbdx62pBtHBitL16Dvk7Qaax/FcR6SjbpLBvegN
cV5kxcYJ3G0b6xwocpOW5P9l78ya4zaSNfqLoMBewGuj92ZzJ0XyBUGJJPYdKCy//p6iR7al8Tiu
3/0wEROeIWVJ7KqszJPno4/aRsAuvTveuU41EJeFHdAtCdr2IdGlHZ2FC82hEQm08hpnM5vIFRqN
/SuS63RnFEFteo+itq4p/K8cn6WZoS0lSz4yf8zceRdOGT5qx7/J04jpbBaUeOTXs8PWaZRXOrvr
9vtYRel5WYb6tez5dWZH7hatVVk7UaC5lP9apm+JM6flk48xzZBEhxKK6uOgR9nGrMcS9AO8JIub
IIE38eFOCMpb9wpEqWW3Gz7ZlApj+6RwFaET2oBSsVWWDcWzNF28bhXhQhTFydJzmBfgl1BRMF6r
10GY0VFUhIw/uneNYmZmRc/QOeZ34UPUeKA1pWJsqoW4U0dxN7TnLl1AHEsROR1oDmPP+1SxOolm
7W3gHaoUIgRZRPIU19MpwsdUrI8G9FMp+qdRHBC9UPbIJufAG25a21F9awANsQcrglhxRNECUVQp
tojupU6gJ7xRDXiU8BzYLIpFakK8IQ54UmvwQJONAXin2CVfUUwLOFOsuCawvXit9Ya+laPuZxz3
ZsHCbFge3EFzCFfSx2DUvOxQe856EjYjZAJpiNAU6a6vnLzZt11UhXfe6GlHw43fIq0iyxlJ5HGp
4yQgH/zQNtE97VoMML25t7W6Dzj/N108OBuJodOTZXUqvfbcdcVHNRHjaC/jSZ/kU93RHkK48ziY
Tco727cCGdZPEqXmRnTLxVBOF0Wh20HrpTdL70mSlsiYHp0zwhk+EtpjPxoEOBEUkpq8XNwICqqL
dqQhbZ0E9RAbycSGZd0OK9RF7rIhrvv9C1jFFdmuD/5EF7xwwkNkNlh4ZtrCqdEkmzatum0Sl3j0
s3McaYy5onij+/65zP19zwUdjEJ7S8LkAYYB8EuL4lVq6m9WUj/KzFvjkEWowM7+q2ydjWZoz9Km
rTH2TMgnZCUGWcc3bma/AM6fOkO8iaU78fS+XAzMLySIkUfqXE1VZZ7LttjlOv2tWrgna2oDRP86
Pq34lghPAouT+cUU95m2sWfvVCfEq0kGmGGM/bLESJ5IAZ2Y5TeszGvIedrnWutvUxJcMOos17HD
SrZr9WtrDNdFQhS25u4XtT/fh7S69ZbdL9Q0qzz2z6hIWaTNrjBLBIPN37rJZpwUU7TLiuXFd2W/
7YsWaG9PKw2+TktxAMrmYhiXg18n31iaJrTAMNaI5/1VnaR3fe5884mjZrZLblnZiMdI68vAKEI+
xBUDRSvuN0XDWbjyl3zadaU5F79tG/174yoo4X/fuHckkLBnMPz3rau+7vdbF3kKjx4V/8E9qrDj
P4aM1hdwLOJhQJ8s3qj8Tz+8KlzVOpAyhDGPPUpNarP/3Lq2jnKFGxomGjrrM17zx7D1P49i5rT/
E5QxPiuvn25dG9sFo041AHX5V+F+/3OlaYQDerLWra6nVidxVtqKz7UZctjjPhbtgHx1pmOkj/oV
vwn9pJNjgcGEZhojGr16StixPLNHQ6aOZTUs/rj23pmG7nLMwvoNOLrYiVwmF3EuOKgiA8Np7WvM
1gpS0a+7tuivmjS1n4GN+60RQuIHRMvSmizD8jKLav/NA3ycpxyy2MAXbEYxSn3PLR56b3ae2dsn
G9Z0hnPfxYLIzJIIKDFo2dZw5urRGnRGd1ZnvlfOkD+hyiv3kUPmJHKE7lVS87DE7CUb0frjTqQj
Lc9Y1jfQjRv4zn4bJVG9lqNhyyu2R235neZ9bJ8M3rPztMXMO+zwDCNssSNf6e4/lS5N2JXtlYjJ
TxcR2VYoDnxijz+FMAupvGK89HwN3wsCvniyGUbSFYMGkfWIvpSOUHJytZLhWTIAGzObaYqNOfpc
3uH07I659TprwqlAfd1yG8Wuc5wHIhn7sVpeoYUAI0q6HydKiniVRIa/C2sZfSOoNQn0cllewy5e
3mkrP7Vk3pRRctREhWLAADsfnZb99nqMDDaNB+hsrLtkAPfzRVZNJAv0PvlcrEVjdE7GKNl2BaFY
mAALqoms+WqLJD/kvvFgkVi8J/sCVYA+ypVDTbB308698+K6OPRa7z/UeuNeTn6jrwuz8vUV5RPr
ffT5iGPP/W+aYLHWynu2yKfiKvUMApd6SSigpnXTZsybpl8zHCPoU6u6w1yH5a1reHTPie1+iRZD
rBdfpA8TOecXIrXTc0di+rOBPTEAzEW3m2EGW4ZJO/HDS0ElyvEqjdrwiRfR+FASSrIZqim50+j0
Xccy5y7gqUfekm3LbsWWNCGobDz2m25yOnKesPgEEVmee1OSR+xKnHXWUUyjdUPHnoYjfh/jva7q
ZdskAN4+U98VQYX/WYz59yw2OR3/91l8BQsbvf/3Say+6sdJTBYg3jJTRyHHVslPucQGTxm18ueY
HIEOuw2/n8SW9QWgw0VvhRsIGOPPWYDWF8tzXf7DtyVjkAfVLyfv357ESqP10/uHd5S6Bnx18rNQ
6f3yHm9czsZR6OG59Y14Yy155gfG4IcnbWr0Uyk6YuU1fR5e7DQ+ElP7DOS4BLVIv1uSvCBt5M2x
xxFKOHhj6elBr5t6M6UJNQTq0OoxaqU7g0LqXaQG+zxd0sQlsLW22ldSV5P3ftDDdmuWDilhHQVa
yYykZPK7jTGNkgKbk/kU5K0tt00Ldn7EKulTGSL4+0zoy5KatL5UBfdNbfuhEeuyclSon5OEjCTJ
+Qs9g0GacjdqFnU4ghWGIHPEIUFCYM4MryYxkCEuL57xxrCWi5hEQVbiLuwqR9MfHybCAwLHbdms
4BkSVJ0c1mZnxxe17e70WrtOJWRBHXqnXsUYuirQMKJHfVF2FXF42phtZhfdd1tr6Vo0w9XUd1da
NuFBYZi+mvlQL1U1bmI8qv6KYldD5WnN7Udm9XdJrt/xwC4ceud9ea012XK2bDyJTb2Najd+qgjY
EYjzQ3TUrPpj2beq+INiOg3MmgGOWQHi+8Pan63iTnOdcVt7zItEg70DHmyHkJFVGYROE7KiVUiC
69o0yvhKRmNIWFI6rAib2PaTVt266Kh9F6GDPuNC94dyVZu8axPtjHp7S651QlR8bT90Prl7MZOx
ds69LY/fBDynCEhKbFdLLepnJxx45BoaD0dujagLuhlA6E8fxf9PJ54PnNo45bFGT4smw88lBslE
o56Be16aelxvrXw0X8ky8oJxzug0fv5a/55/CPT+5vy7TeQ788S3vzgC1Rf+fgTaX1Svj5BxnWJP
0Ws/gDcVlCroAGHs44DE5/nHCYj+jMOSY47ODAtvP5+AlLTEefFjr7yAVLD/4AT85EP/XIpC1Lkc
wJCjRMezWfdrk9AsGdoNFgrhqmlqcaHlSFtyhjZ6R7QI09EM0N20MkiJ0ADyGIdla6CjFQzgEodO
g55fDYqvHotJOzhOaZ2HTJvXo9mVpyL0i7vZ4pYfJru+KJO++t5H/Xg0izG7sw1KP5utpDLoJ/Ee
mgmNBpu9NvLwVIYWYrSXGNbcZyCKvbMd2f3yc/KzDSKq89L5JvnMfWhWstyanQvQ68dlhWmMMBHd
Izy+dpv1ZKbmytFTwKlYZNdFMYT3JiXELdkTeXynp04WdbtcGM1yoC8QMuTmTrKmtUG8iskvCIyO
Q0hyk5EsOY9eNb+i95E3bWt4Iw2W1rRR46NiukTik24KJ2nSB40sadgCmQkRTKYLND62Ft5QR7Kc
jVfUOtiy6DcLvds1cY0cjfPR62tSy9Q9oMvWd05SXRHENnJbFOriYGuEO0Rr1H0yJ6Vl7Vg3Sg8z
BIu/rhb7djE6KaiEuJYq7qc+zeNjTcjacnZg6Q5e4yXyliwwYzuzrLdYQcwP5nguSIQptd9On39P
BGWv/98VkdoQWpFH2v/VehBf+eNIMPUvfN5wktAUVp98TosfZwLeT5dHpsm6OLNUwNY/zgQgWFSJ
pm6invoZg3W/QMdSCTsuIx7k6v/Mji5+HoEpDNZ0DJ0zQZVEJvrDn+8Oookch3aQdimcglzi6iCT
cFyVucu8WkF9mZj3msL8Ung/XYF/UiGAIyzgqKDAHDpwUZgg12cagPtWLFUAETYKJ0zgCjkrHis4
Q54j55lPA7eud1ErFNGGSQxhE2lj7goFK0Z9fsuHuIHqsL5zxQYM5zpClPUbX6GOowfo0qYtQZ3i
Y7LdaZuO9V1hpg/CINpoyRY8LBohS4XfPNkDQa6JUa+LDK9yGtWAXpW2LRskyIbW7saMJxYkDQjf
UBzx+Y3JmkYTZBwAjrYOJ/ulzqU236Sj9OQWO9dYABN1fXU/NKleo9Q1bFgRdOoUNP62NugnyW7m
Jcm6MECDtZFOCQqJrWFI5x7aAH155SGY1NO3XnAG6japywkvFKu/zOWD2RH4Gs4jGSn+ABgyV3di
IuHDKMyXFKRqNfnwJcAqMugqeXLDrjs2evkNTjZt12UeV/rGmSWJJG5hmzdNFvFOjYVDZEV2r5PI
kgm2ZuD59fWk20+lXT0WiaioCafqAvR/DjRBBInwr1gLPZR5ddkZ3a4A28x9cZyc8ImrDYd9Zs0H
4pa2Q2nrB2NA6x3z+4ZQmkBSXWgIPefA4d/nqxf1yVEmVGY1f3w8eENNYbrFFdOq+1yhYITAo7qC
DrM/ObFeIWPZJz3WfpJkxuidF3O+0TtE4LrbNUBKgGdtrd9FkGihQtIW9IMNjJoGRdfArDmpOIBp
7zI57GMFtUnott4rriYflnsy0ejBv9kFf/PcMnHKkrZdpF/JzbkXVbwbAefQuEcrH5RuAqljt/qi
BbFrQe2S3tgbir3jwK0DV/F4C2DeJEcIPQNWb+Ll6yp6j7/ydDUM6XsK2Cdb/t20OXI2lqL+XPA/
pgE7YkhfzLbYhIoP7If8vAAMFoocnBVDaGn2XTKM30qt2xTdfTsYRuA3/k0EfFgDIZb1cgT9ftT9
dMQRBigNrogNndVtAEaaay+FIho14cJT0xuygB1jRT0ain9kW/rVD41qo5OxubjL5QgqSa/mqwk6
WXXaugKlND3nm1XroOIKsoziKzo1X5t2vGDB5jFXNKZuzttG8ZkJKGYIsJkW5SWdHU+Ff36Tiumk
b3vhK8qTwcwpz/m/gX+OigMd2+LgAYZKpUxTpOikmFGh6NHsEyQFdZkD9xMvjeEqTJJNo+cU+LR0
qNZbhaNq3R7W9pkI6u3oyw0zi11qeS89GGsx4O2vAFstYwh6QNc2qp9mRb6aBVj8aJMaCRTrGQ1q
McXJtq31lADOjojQckXSVp59Y4HWMli7MRVrOy/y7Cj6dgLDDcvWO/g0dGIA3cTLvqZmdsF2+YPA
WoiaWL/tQXrNOj/HIL6ZPnwlTOeuVexvAQRsF3zU9JZYd/NqUpRwNFN1kdm7z02SLQGJ+SE5Voos
jkGMu5D5iGKOh0E+FWaD6hV+SYIl0986aT5RlBa8cjNqB0J29zogc982hwKwecRl6C/ZxYT0uM+X
m14R0KJozhZI9FTzI+sVTBmApUOg6Qwlq904hx6YurPrYwxcbVjxowS2doCuqX/zFWaqrXSgrcCy
M/BsQ3HaC8B2aLYXMwA3TgM+YSDdcZWdSB5+mUC9fRUqQYN8ZbD+HKTg4LZMtiV4ODsKp0R4H/++
VigiMHPQRv7b2gQfSNAOy393bNRX/l6b4ADxSFXk7QHJ9bOU2fxiIfgBG1Dvj8+x9I+JtWDf2VVZ
P/+xktMC+jGxdr+wm+qg6zAw4ACG/aPihGWsXzo27EDT/iF/iTcVOpBfJ9Y+Yde0GDy42ympeIqA
5rZmbq7zqfyaULxvTAXwdmaLcDQTNC2c/tA4xoesiG+oimI8AkfSCY+zdN3rwz5CpIgKw1lbbcVl
Xg7cYnDEqUi/jWHLla4QY1nyWcgVdiwUgKzVs38dN8WDowDlZrQQDMMsAyo+RFFPjnHyFb72vmDd
6kqoG65Sd92gbj2dEMBjwUUYYmjAu+jfeKQprKbBfKcEGbYRDZP7svH3LjdgWk/zVp9KBIvTbWOM
jNbwlhHBeCmZRpKluHP0Lg2kw7iRlnzccfe0c3XuHJToUW/tMhi2IIy673NCoFoVRXIjlrkNrCTc
RUlzZ/vzlm44fQ3Qxa5tk4PMxYthxCIYp/FSKijTW1gCgt8MhgkctEqM9ZQN8Tpvs7XvLLch44W9
oxn80QyJPOUJt3LhRJeMzo6+l6nbOd8svfaWpjlq4aZhIFElu3EZk6AJBZpcmaG+gM1mDx3fbu5d
W1GJVaE3glyosLbeuk1rcVt1b1gDPwTfbkAxz7diEyY2uteYqiPokNSxTNNz6VnmimQ9YwXis6py
yQ5GbrMHM3d7r/JvWU6urpvCODdTOm30xqjZHqAVD21h7niR3dsLe0KZ9Nee5jxA6/jHRqZ7onGS
tduEl3rHqjlz5C2M9Kmr+usxrNZ9ru/gmbfVRKvJcJKvvt3Zu3KidxcSYY0nttkuiUBYOj+ZVbG1
S/lijzOgtCVvJeqOlbGM7/zK02ay8ncpGuOqrCguG2O+TifPIt0wPvuDFl5Iq/3Gwhj2GYzghyQq
3ZdYK8SmEYMPEIEjc6MvyKyckLpY1peEQ+AqjqruZuoqk+yKGcSAPyCe7HSP3rzaG4+SxB4vFNu2
nva9FW5nB3m3FbbPvs21Zs8lays1vwTTzhpRbzsS+jE4/BF7UQj7Fy8PVl0ZK9ucx8CqxZ3XuKfe
mN/zuMnW5JjdIqyOTu4iN0shL02WrAyfaU/m4u7ElfeWLrV/6Cvxxi4rDTyPAs2RwHeV0d30DUEs
YXsOM0ANQRPgWAl8noyFARIIFOXpy0+4RwU/zXwF+mX2iKN5mxrhR16H1znU+touev1KxgND44G1
33DJT41Z6ptFd5t9NCxrjVUyQmeOY2p26yQ0n9N6UaE6fX8R25p+ttisf9f1MLuvdLve59IjVdDI
YybO/95Ov91OvGT/5nZK3pFf/8XNxFf9fjPpDGgNeFb1MiUS7+dXM3IMk24+dJTJW/iPV7P/RXBl
MWz9z8SXb/jjZvK/8E1M1SZVDJQisP5BJ43Mgl9vJp7zAraPi4nsAswaPz+bFysuYrNKmNl6Or6F
YmHDwHipojc6WIujVOpuecF+i+qi+ebFWPPPW1NcuUZ5NdDPJpbzNh+GF3YbA8LE4Aay+KnEJkxf
7tYqvXPt07nuxLPh2ri3JxpIIjv1jgDzh75EYjg8kMt1D0zFo9fX86BhNWUN4P5MH2lNysjJmWlR
Gc3rwuahkS5Ppq2RSzz1x9gpN6RYiiBDs9QNBGWm5fKEzWo/0skObMR4k4ifKeQfFq+68FNe0y6n
SeaYH9pYUv8PjxmvUhpmzrb1te0iluvEz8SK39mu9llTGX2QmqRHCRUqO3g4HnpykOgVegRWknnQ
aNu2k95qLrzHZjSnlXqgHBCDGygtES3pOQGSo7Zn+437ImnD/aCRfWtPB9OQTFTc27EeboFh2ofc
mV/zmuvBbbwjpp2veuGcGJwXQa1PZxZUsOtHQts4abnvpZbSm8edaXcH169ISg0Z7hpvxO6+ROHw
MHsOVh+bue7ijS+Z3jGkaKwztP67JbgLiLB4+LQ2jbotA80Otz1y9dU8Spfbft6n3bzzvHFTM5Af
Ov7Moii3eYBHKeQRi5SyvSQwhelTKNJq1zuJM52IcpihAWq9P1Qe28e98NmBMHvGKE2lt2JDrzSU
m66zev81l814SHvH7Nduhj97NVnjzNot1AyZXTaiqLhp2E32efw03A6V9b2M22aFi8pcWzb4vGlW
/LeRGNml++6Ggx34WfOhirDVTPDqXBbLShizZLshuxVLPZ+EJS612PQQKdV8D3ZjKy1+yif7ufQm
/NWTZAczi/GksJDEw+EtrbsPc57el76dV1LkjxFw5IrhHJ4r0o8yYrzbUks26dhbG5DE68m0orXl
Z3s7bp+9zOm3vH1zuGXvee5NEuhs4p1dMb51nqmaU+PET04PZJB0XqCnfnTOI7K6gBXWZYTAaUrf
bLReTsHPC7nA1GsnYq12aVXfSCslRzWbHmo7qVcuqBY5yCtAZGos3f0a0pnaOfwTzxi/Rktzk4R5
MNvkEozdc0kUAh0aDae3EEuy5ltNK11kpLrFGhdIvtK0uGOCN/FIG/kbx5x+O8xVdMji+LS45eXS
1oi06w8GAbwwbYkup5mz9vu/98pv9wpTk7+5V6r89a/CKm2+6vd7hRcPi/8Gsxj913sF66HSFwob
Klx8PoZ+vHi8L+oKckB4eISw8MKV8+Ne8b4QvSTUXWXTx1WOg39wryBe/PVegdHlkhJkMIEKoUf4
+V6xvSJt7cGcr7w+aq9FOhe3NDHx+uW2eZzHLHueDRLYPOQ7Z2rKcCUXGVOFyuVR+GN/F+tVTog5
29Qcb+FGaH27KYlLwhunX+YKkZOWEV44jt/eWFPP10tGWesBcJHDgpJQ8/zjZNJJ7fq437NqlX1P
aAqQhQ59R6ghyYh1N70UcRwdq0YttWt9uqa+orXIS42V8fnRN9k/VhRNWIjjADUCyKONp5IYxE1b
kXExkYgCsKhfZexj81bKsLe5TbaKE2dPJU8D69Nkpn9azTz8ZvVsjDaSJTJ6lyX64KnwHCsd2hJK
Gk/1MQV+ZYMOZZq5+GPQc3tfR0b0pONVSwar3dp1eeMo5Rr8rrbrlYZtUUK2OEbNllv5yVCytoQQ
5rUex/Yuy0t7I5XUzTW4pxIY1mNT4FYMK3mztGCbdY72EDx1WWmOw3KiR+M78i9TCzxIzvzpaEoo
h9IOgbuSzHXk/qxnJZ5rMNANZvrCVT+RwkEaDu/tdGNAFcdRs/QqNDPeaCPQca7w4xAOObU1tEOA
yROEcvGJKitomTWM9DzBMWsZQDOuaxKVFeRM5haOhOjOtcRNIei5ZNO0M+GiTc5cn0VsYGle0lcQ
udcVFLUedQK1XnKo4auZjjtM5JxNqNBrV0HYucKxu84hDaIsTh2ktqOQ7c4d7ySPa57gMgsyBXaD
wl4JSO8S4ltCfqcQ4DUkeKyQ8EXB4W7oXnPTbBeo8WJJyEeCI/fRT1A4QZbP9bqGNKfGg1GDPeeK
4n+BRi/M9pul8HQfTp1g010Ft94ogH0KcR9WNVA7UazQl03GIy8wLXf4bnsqbNvCGbHF1njhj3Bp
vOuT7MJgVEce4JxXx9pH3CGMdrqIWBM9/HsY/3YYMyr6u8OYN+tfFfl81e+HMT0mdnxgNj2F9/xi
ziM9mr6UMsr9Nkn/4zBWwyrwTGEwa/9FQatT3fO91K4FM/Z/BAzZn0DQH/NyOllMYIRvmx6rFyxo
mL/My9n6z+sMGcgVqd38ADnqZ4mx+vC9TYeNtCH1dIUB42IrgbL9x7BnqzRUsLDjiG99kd8JhREz
5VsPPYtsIYTxoOmHDuKYuVAUtApCThoC1xWZTELHy6hY5U5Ry0XTHBoJOLckV1avHdhyPnewQEYL
7zwo8lmSvbkSnbcvgaIX0EYBJN2PbhVUYNOZ4qfzZLw1rf7ZV2S1k5U3c6YZfFS0e03R16HisBuA
7Ch0T3n6lENqjwrZTp30tlMQN0sjsM7OiUwN+mRLuZsV8K3X9lWsEHAdFnyBCZflcPK68K32x1OC
zslU8LitMPKoDM+jAstpdj3zsN5QwhmvNK6Y50GhL137mEClR6TMUNdbTcA63sMEuT4ohL2CZc8y
7zwruN3g9xBCuydL/dop/F2GWbJhClkEsYLjSyj5UOHyrVc8cDdedcP4UiigPoOsn7xm13+i9th9
V5LRuAeFT/1/lZlg+Q58/qBA/XnxH1PX3w4Q/KOMd7pC+jvYfrLl7UBC+3tQ/6PC/0f2AJKYtCQI
Uop1P3ts1LJAlvVPDtsDo4IBerVPwF4BoqTogghiJFRU6SW7B2M3EAHMNkIXUnx27CeY7CnoamHB
E71/HN2h3gCWvZWRuIvCeTdkbBQXFcGplWmsBkt7B7RQZeXWTfuv/LN9WdEUtKWHu9YkYiFOe+IJ
0vzCn4p7pLZGBuzBor9LcbOOrTBei6H74I24T0WLVKSJg35oIzaMs7MxNJu6wgCsZ1KupNbdGbLd
gVA827Oxw+YR4WR2Tl3KRLivKntdlgXCw5hpEIpbu1/ygMt5M8cCsILwRh6bLY9aBD5pEfYbc7Z2
ZlSdMsdmvMjoIKMgsbPxmMZ9GsTtfNn6/Nnb4amnqbvSWA2Yvw9R1X6Ny57c08+0PbcieM+syaiL
Vp4K5NN5Nd8CvFHDG1OyJb95m2kxAX5m+EHC7XvoEGcQV+yrq4gYUU6Pndt+6zNiIuuquuHe2hHr
cmPQePWwTwSWizh2EkFqCbkGTyPp0ukvDSu3+c3VtOFoTFlTim5oIqyJoNWVn4uF7K2O12dSrPtq
2lru/Dq55rqZphcvpMry5wf+omMy3bTDnGgXZRPv4kw7lH6FrZetmhRXC7HOaTFvM498kcmreZMu
Rws5gtG069iZo7VZTFtZwL1aCfxt0mRBn5krfxK7kTWgoi74C3nslYtqGpSmIpAMmNBGEmlYivVc
dOs48Z+KlDCbro0vZA3ItjSJv50KdyCHutxDDl/y5PzejTYfAkCUSdSbjALJquezPaQHOBcchqbe
nsxx5O/WWYUacsyu/Y5i5opO5rpL7Xs9iViNmNuLJRMuic/lxs5YeNE9sj8nw98amX7nDOF741JP
+RJ42Y+8oBNyT0diCrTG2dtWcR3qizzFRJqnCU158JYgtofzKMrThPthVWQ5GmTvGRfDqme9gzYx
3XF954vhOnHlV92sDyGpUsA7YpOlOeffVKIVd6tbayCKO1laBD285KN0n3MA1om8DN3lHuP2qjH7
m9Acjm0jV4x8SXzjgb4s5tZ1242FSqmCk1wTfL5wCltb3+lPYOBbD5w98GkdNrX+LQ87c0XI3ouV
gADA01sHQ0TXRkn4ThTdGIt3QcCpDBZUJ3ihx6PuZoEgACTI6og+jpb4Bytyhh0Ou2tk24SMz9dE
7nxY5rItixo7DaR062nbJGlKtqVIB+zr6154D1MyxEHhOEMwFQ45hqmZP2UEgK2jWn6k3XDChvGY
DyVtheoi9hksD21yO8BMmkn74UQz4U5GfRlP07ZJl4fMIPURZOSRE3jTlc5Nq4Wsoun+s+a2X6dm
OuE8rRVVIegP0zQw4pOJGCSelLo8Otl9zzFuzwdSMiijjRCBw97tuuxR5vCja0Mrja22EKjlIWrI
9eRgOmqvbCyW9VTFb7a0hvUsq2ndtcarvyxXRltYG8qFaB2ZBkppAn9Cq/kQTDkDv8/OfcJ+0TBP
5ZqJxtcqNa+rwrwlf3bEUmGzid19p9/IgMg/4va46tzpsJicX61gHFs65cM0a4/1VN3nCb2IsbTW
NdrolTePVzJjkm4v3t1CPOY6H9Lhpu3Ji3aYZuxtNdZ3QwRb5NYjnDj9qZ76C+rzMzbpj/JE7XNC
BQrddJWMX4Xd/PxW7BrPsGff8q+Mu2L15GzldROQ2xn4r/e33RkTxaYK+n1y4exIGNxX2/joRPv0
HO/+LXA/C1yV8vW/C9z79/j1rwpc9VW/F7gGBa5JYIKC2LEaMCn9nf2yWBamB6HmmvSyVYP5x26S
Tho0nWrPphFAfpFF7/tHt4EGN9Jo2g3+Z7Phn/GgxO782m2wsS+qrjiBDZD2gtHwn3eTypyfK4xF
3pX046xbpxYwlqPv07LUjkMebYzeBgfX5LwK5XCYxpnasTDdjSH9Y+8QHVfTpN9G6XzvaVWzG9KC
3AEjyckOKDbpUH+PzInkgaUfpnAHGjZoa0sbHjsPhHEuyOlyWzdk6DK7h3QSjNxMvIpCtmceAAN7
o2YMUGN868PuQw+Hfs+67SUyH2W6q5DsJxM9YGO6EfgUbxo6d0GUjTh2c2IGWjaYVMYtbb2BwLvZ
rwm45d/KmzJosEHbG6R5blJmS0j7kjejNKdh3Uk6931J8qfbcVNG9QKXY5GqmoWlcRWabA5PQ8k/
g23ZCyM3VjW//JLkRAUKHYuQnwAEUe0ospSHqjXSOkahVMV0/cx93zJZ5on62ucWouiIpIWql85K
hsQeIp/I3OokNZ2by7UAagrSG5YY0rwdcPUOVGctYO5G97SHeulwMrb7GmDn4DTLNRKueU258tVq
xPeqrS4bjo5Va8RHw8MH0of3kYRDH8d2LTP/o63tgz74Z6cbmYZ2mkvShC12dV49pWN+dMvkeUr7
Lph97WOKPJYpe9Z6c/niENBSl6I5GDZ1alrC+ZQufywypxaw4ii+SNixWGVNlxAIUF17c/qY6aJY
jQU3KSDvtKHDNFLGluAiXffVld2z505BZZvVJosShHlREhPZ1TxWdIS3hZ47VEButO706R73TYD0
RlpBIvV+Uy7AcG6OlSmyh+u6g5TRxYgieuHlX/dP9CbeCgYO29Ay3mo2lRiAx/2xDE1KFc/aRqWQ
W3eywmBpkMZl/LjuBjQwyB/tAvuzgQaptq0DgaT+LqI3F1hexQeBPNc5xe+cdd+selSBXESMG2mX
rQe3+6DHQNivPhcBn/06qMss3ybozsiB9lcswrH0nfAZIS815wKKl3VoNAGbWOjDsI1G2CzXsTdd
WTLcm055TaFy5WbeQaMyGMxDUazD8ezzPTu7v6ubsWfcLQi+cL8Kv7jKyiYn9jmd12E67TKQMb1J
3ruyf/o/9s6rt3EszftfpbH3LDCHi11glZ3kXHb1DaGyVcw589O/v+PQ7bJVtdMjA6sXWM3FzJRt
ijw84Qn/YMW+TM+0RoAizJ15ZTnlNHPoD9chzewoP1PVZllJyS0Cf0dR4Z3WRJErRUUURSXWiNEz
bJB6s+jtTMoe39dYHY9RFvzmV8HaMCHjmXJnHYWFdao6yTqoEXCSNLycK5RJsygaRYs1oEGhYPDl
KcFREwanahOcKkn+LVb6AgZfRR9WcW91y7hrcOVUk0gnNs6cWR8qJsYlujHDrw4+i2fB1WnqpaeT
zCEoTKBIqbQz3bvR5f6KvKkEMo+th78jH8ANBtvYPIyO3LHcFqmmzzniQUs56oqq2YhcBtwah2Gd
trV/p7raZd2RVmhBM8BDq/RZ1KLJGhXyD1zMT/QgOA1835qA28LIGBk8OQm+jaZ247q899LNgIDW
sUTPR7kybAdeHLrhnpZeqlLfAQBAF9NpkNkD1lqktjtXK2DmfgOkTL1p/YpGiYQwXG4fB5QTJq6V
XMYoZPVWIB372MwFRp3O5Lo/Ngd7jhQeUn69akwRTomnZgoLJ9bhFo2yfzamHc1/al8zFBV/eKN7
U+TUAweFUEYL/HzZ++FjmRObZdBOZbsbZxRP1Wlq6vJJh2TXqrbzhdXRqx+L8XIAwDiXWgw6I8e7
7rVg3qjSynHzE8dJWsqs5TFUL4jSiu/RkkyGpUYeO43NzFi4yXCf0PFA731TVH1AodFv0HVs1zjN
3KpGezoCwBTcyrne6gvhP95m9gl26/TV3HqFKFAEt9AMJjRll4OlPIxKfmZ47Nm9o2GN4c8LpdwS
f53VPX3P3ptbAauzGtD/1pRvGTx/N6If2XfuHIjByqrZTb0aq18mAZbn7Nz5BIalPaNUgpbgYN3k
TXA26sY2qtkoA83EbDy2VixuXL3H4EwBKzDpK+e8RPhsqeodgXRZTexYR8SxQ6i2VaUJC+2yNMii
TWvMlvhobzg7y3kW+M1EQvZ2LlNUOrdtyQarCTClrMr7IFKujbSJpxS2b9Eb/BZGNKVK9gUK80yN
GCsbdhBlMar2d5qs/bLERoT7+16GBagIO3usQD5MnBCwQ+pr4xqMpoGyR3HBmUdFhp91uX9SI4I2
oS1JqC5lcydpHl1R75Wt4lHz0d8JHQDYkkt22bpnSk5qqGOvsnAyp515FJ4nbtiAu6rZwVzbWPsW
Lq15HqQTCcBW1nirAZ1/dBK+axL+O52UXg/Z6C8DKfwzsvIHoeJBKz1Z4liwJI7gHbjttWJgXV60
pOhYDB/ltc9RnOpgvAiN0BYZgYRKSnXujPrMw+w5EsboEPbPewuV/wrPdFkLCINxUbelFBgWvuod
9hFzqcDpHBDNJvLx9c496V4WduwlUFF28wqXdp2Cjx/ohjSNG98+kuvIKdZZHGcUEcpAptWLQ0w7
onzpFP6zxtb/8SgMAtjfxNFlAIliIGh+0jg/evzP/1Cew2/+7K9Amt6cblJNRD8NyMe7QJoisfFE
hRCi5a9RNKE3bBiLIjFUJ0Kun7Ag/DueJSjJgDD8h7o6xHEfomi2fMrNKrrlNrcisCJvdHXQvu3N
AnGdi1TJdf2sUht2pKEJACJMtKFTnUnf02YTa/YBJvefo1gBVC2udbEmNOv7AKB4nrNYSmQSC7F6
apvuR6Nba1msLEmsMZpzrDax7kjJ/YUq1iJo7rUkVmeLy+E0dLPzaqgfJbGCDad71MWa9mmFNGKV
Z3Zw0ot1j1DUmcRGUMqZMcvE3uDXZjurxX5hDeWjlFEyJeYUQryLMYmGpcwmI7HZ+F2tTKhQryyr
XqdjVFDrZFsyiu4b0iu3cT3E05CdSzPqe48q/tIRmxrKfua5h9LDHJGseoKxQDlX2AXpoWdLwCzt
xGaHRFL4PNMJXvxRvQZLX0xgxV72qnycyMZWr5OlVuI/rgcnujqgHYRwZ28DJHBqfttZJXJ539DA
ynoh5hx5OKGZ905IxwjRRl17qBznoVSr83IM7oysf4hotc5oPowzoA8XaOOowMm7VeIH0iSs8Y4Y
pcZbDFFwXQXaGgbZetQKV0gxIrClxhSMUQo+CpWqmBiK0E2R9QvJ6MCaiczBkEBVer1yEvqmtwyl
xlwUHjDwopExiOpvzQqhhY7ysGPVx3aGy5dM7JYPOoYcUYH2bp6qy6HuljYIxlkpKjg5BNNlZPkl
8r0wkM3WRditUZHdYauaWrhxlV731bUt1JqbC1NuzuUM0XlJcoplqadw01TANxEdUnqZk77uvAma
NNCF5fIokQxEW1QJtVKDYLiDXiJb8trnVfCb5fdQKq/M1rigN3DkhVTlTDVc6iGOJ7W+cpQ+nUSj
eVuHBQ0R7ytAyS2Zr0TJV83wfjEhQBSOv7Cb8T4NISF4an6MS+ad1GD9G1fdrcRePeVPAY8CeJ1r
bXQ9SCqcEtXM4dlkPxLi0mmQ5WcUPM4jHfB+PfTqxM660wbyxby3++zc6hJEm8LSBhcawEWJnBUs
A/RntLLf1G4ezuQqd8H+wqXRovCuiWZWHNwCPo2ZgYE1Z63NdL0lJqmtepli5D4xOuD9vaK6SPUh
yZx3ZzqaNLMkDLTZKEmXIEx9gJjFOLNUYt5UTWnT9iakZq2c9t5IQyLbRD0iDMy1ax1B7IHzCsiV
5JVXmVXNtaFHpd235jZ8HNm0fqAgRrXL0n+Uo/zNqZxTuYvX+TBcq5hPoe8k+XNzAHcyJMWV31Sb
WEdRPhiO7Gw81pG+nZZKL+OrroRE3kKVaPihVuWfntScdFl9GefSGRYBuNCleChG/ZnmtPgMynDf
oSupk7CJhPit307Luv6RSwlZdN8JyLW1CfAzpfcmo/wjRQhGEbIjM20e181AC9iQbFRy9Xt23QIS
OmFQG5sPtWKD4KKtOmNDPkFvtl96VdMs/LE9rqFfTdXSuzL9fkNdl5aCHsFaKCqkhDwwwZVerEzM
lQuaTdPa769ro6CMKcRDeoClRSSYIKlRsugyloRtnsUlvbCsdzm0UVXWG7efWpJ37br6eZY7146r
r7R+sAmS8TOk+Xvl5sBmPaVYeLUd35cIykNRak8l2VKnTSwWthHeWcgPTcy2ixZsq/qUusT3PkVf
pNEDJKvSYzb0q0HP2lUhJ9Ql1eYyJ6YENWDMWuD1S58i+LStNLSwTDQ47PTYd019iuHkaeW3l4Gh
gwEgQXCRcZ5YWanMUy/mb9v22jBDe4Vv4vcKRX5ULUp3oqaqj85yISHAJf1wdOL22i+DJZonl+mQ
fTc11nYRWzYkJ5tIpidsQU8lXcuFQ20hK+4VO3GnyLvEk2ToQWZhg4SEtgyZlD3byFN5EYKTWMR1
9r1xKJnmTKTOTRcDoJQJnCxzwnGHB4WmRSQesrdAUYcxRQ39iPxg5ZCV4UVIxKahzsUotbf+EF12
nInTOgQoERhVOEE40YNlMzDdbDBUTci/wQkLTnNp7GYRiiL4LGUTUmu87+Sum0iReWtg9lSmw6OR
GReQ+ra9wuUqPbwXueWkQ3BlYjbpKUJ7BYxG6LA2wjmWla5kRTmq47wE4aw280go6xRxGB9VY3Gr
qSz8ONXupEE/r4P6sSviBSrQtxz28klgVqSYtnNUBd45nZYbmDQrRGkxRfQRI4+bjJqF3q2wBEe4
fagmmdD4odXZzlTLegj6TJolJb5XhRAnGTL7SnGTYm6QzaLAD+A/zxNYB3HjHsnlsDElJkPtt+qC
xudNn5Lo2q50HHjepgytmUdDa9KH+TIrqF2nVn6RRThHIPDiIeJlPGDpoC+aOvimy5S2wsK8kBvz
a4Z8g5vH/Wr0tB+hTLVCayluq2oJMqhPsRmwYtE4qWDZ4Yoyxz29Bnc5OJNiVL6ZVbt2dHqtY86L
LSV2bX8AsRdaYMBNKdzIqXoWkWpN68ANidzzk0AIuuh1uRyQ5p82GqLmjRytQq/up4Gtcd4JXF+h
uuk0E1IwpmM/omLWT9COLhetosnTLGnbWSYP1A6wOR4k8452lwKi0jWmSSHd+GV3SzGFZCdwplkX
A7hUCO8bbDy9KoPMoPvXtWkVcyQKjxqvqaaJ7NzqaXPhxZAstaqmDJVLzbQwWU8aDfjek+KZGqVH
EpETCzKU6dTgjOElIBQ5zxktjpBwVVDooGIUbDsgoVJu/jBlGupA2WdWIvgEToQoBUwAqCoP7VCe
OJzkKIwbD5C2MRhoYGt6Chp/CE07Y6tPezO685IEGey+VKd2Y05DKaEn/x2R61MCA+QSdZwolSY8
zo1SmeZNiNZDANeqKPmZHX3zJINWXBfeKCQz4PalKyuhDajCx9Kd7q4n5qL8NEKwyLN0XtSaNx0M
WrhJVPA4OqwXuysxJsv0ExsMvm0PomlexFPW3Q9watTVQCbMvUhbwJG/z1uWrl8ql7GHQQxz4Uwz
A8pxRlhOmii/NgPekWEpGuFlzz5dpme9XqaL0tSpR9YPtDaBFQT1XdGjP5A08u2I8GE/xDeAlJNZ
V7GlWvL3toVfYtNwmeB90s2yuDnNq3KRyuiJyEMFpzaXUYEzw61DbOy3JpSFPt2OSXk8OlQ7vXI8
QqH6Pgih/6BVlLfAhCuiPCti6/MLZqbvdNYyAyYxKxprKfflD9MnpLOy/puWEPO1IaofICMaKz1y
XXfmR+kGSPP3sG7Odb04hraqzDx6sbjFcFJqBR5x1lXvK/PeANHkFtk15YEVgNwjx5BAaIUXNexY
KDrDZNBAorqItZbtadlnR02QT2MDrfjjKlSGaeFZanQZp6N5P2SBaa8LibbbJdK4eTsbbBNWRi49
awf/Xw5q/JbLf9Mwd5J0uyMJfcPkVxxBvVcswEVobKsyP/qrmyN/MWnU4Fqlkqa+VZrDMRtND3Cj
ivrUyxEp6ms3B0kQOPdATbH5fNKc+yfYUfMdW+4JriTDl0MDBuk61J9FnvomD1VaAwwErLfz0fCP
wcCCBMmonUcpWm9hBluTQDx04zM9x+gBwYKV3CjLAE8mvwF9gJC306mXKXrzjaYcd1W+iRr9m1uB
JEzrs35UTj1HX42+QLJL2TD1Le9bNcSXLbWbuZkkKFGa5lQXjkZu3OTTUSEbSgYk6uPIpyaW1Old
pvknTZPZpyktfdsXeBQhTTaC7EGK9rspGQvNVSh5Q0vHd3gCmeC+U1oQ5ykVMoK/mdrAM4gUKKqN
mT2iqk4gQU1/OvoWUXcbKUfGYJ/WtXWkuckN0fUW6MRZpTuiBX9DgT2DpOYtMbfGqRMZ5qw1z43M
Oo5r5IQc37jVJGk2ZvWfnW8uqrZsaaIQVHSOfQFG/CROsvOwi9ZhFy5ySXFZhHDbQotSr1JKd3gQ
09MZc0Ryw1O/RBFfAOjpY9RHKTql7LcjWbTpJAspdP7sreTCaPHFwURgnReXoPUXCccspc1zlNEX
jdbT3wJvEIY4hNHt1hRsf2LpvtXdO+qzC7MhvXEgn6+0OPkeDHBCJBm8KUQKKFLhekA1BeZUcyn3
LnFpZCZfC/0IdhxWmrUNWJRuUbv2ZHvhgmUCOori0dC01z7UEf53sCD2iWd1kX5tuA0X7O00Cjik
9S5bGoHM2NjKlCP6pGh5D2EoEXHIdjzLBhuxp0G7CuzspOvcR73IAbqZ5o2emVcS/dCpVJunToKL
amNY/tTPSfwpdV9JYLiMsNZPMXEhzinCG7xUH+DYIJSVXELkfAzT8qvnANHAIY7AkIda5a7SwT5w
8QjNem9K+Xqh6YI1aIGAy4IIw4oGtbpkZYwRmKJ2FalaPE+bfqDu3mxRLMtnuglYTbby+yxL5g4I
IEFx96dFTEJAfwDWQa9UE62CJSpBf52MPUekiVTxGRzL22KMyCQaIm6ZIzALANlhM2Fjz0IrMi6z
EznrYxodEVCc6j4wrVNDN67Q8A2mVuCgbK+M4zJJifBTFxcSZ+DMg9v4Z54W13bLizc6D+XicY0s
86PbSsoMSbIrJ7evGqSrOo02p+K6R1Yk2RODST+BwLvoR6AmCO9iLORFWHt3JUZLRUnIMg4bTxur
KdkkITgjOqml8hh2zEyO6O4OYLaUOAnOES1ZBqOazIfoSkLFCojTpPXGjRQNm7o1b7y+vYliBW1U
+yJSVarzHgy9TiW+w6L2K9qGhLKxNffHeuEPrXkMOKWjZwq+GHgfWYk0bHivw7FeGfMsB8UbUWCb
qZK+VfvqLJalM1xQ0nlgD+kc8Pkmg7E05DXKZGYy8LqgcAydZU2GkiBcLbrrxOoyNJVrZemCxhYY
YO6njdNZ1zAD+fcfagwFZTBidxLpovkbS1dUZbZVwpTQzSQg8rBu87JYVzFce1XRt3kOpBkRkSok
V8LZSJ+nHVIPpkI7UR7LU1cBM41p+CxhxE8KtOXBWDGbmjr9picxdXCJPdgLbLRTWgK2ePBWLvIl
q0wZNoUZZEuHrZH4elFojTQFfn421v55FWuoCFlCsjrQrrsw6WABQ2et5CUcgRvsexZaplxjpkJ7
bYSbLGfWxgNEjlTascrDzboAro4hN7foPShTeGHFPA6pNZUGkzqq3G+tOX4ra+oIle6tvFhaQaVt
5jTmo4leN9e5ja5LGfF+NSmb2dTfph3EyYmXUBIq4cWwy2e+c85Gt/QKLN1UvboZ3O5rpNZ3ZWGD
iImaO90ZZdqInUIFQIUGU4Vg6WzfwKSQfm3moWEZK9pRWYXXqaktx7zJaNMo37qIOoYThxhKO9h/
OcDbtNxElkP92pqXXXU8uvcd1UBfu6SqNKGM95Ww+TbQEl5NWi+R4VirOdXPPFYqPP3MrcJGP1fw
BSZRZWlTfl1JBpGghbzzPLboPQc6LpBOd1rl8VVLa9DqY7ZfhKzHQblGfPLEz+hRBF5zZ9XUPOSi
Pi7qNTJNk9pAs8UD0qUPGDzEmRMsVVT8pkYZ3CnDuIzjMjyldETHRirPHKT9Fu3QRAtkU8LJSIl0
UuXk1YYrjIa9Y4PK6bQybcHdyzwKKkjnoFvdZ1sMbv2zLq1RkSV+N6y7MEu6ZQnICehCMQ5rhWrD
1K94z9YwmivPrrEmcwUtvTp26xG4EOz3c3mktYfJnn6EpsQaPKJtbxp9AHHQo+Pi53Yx5/AI0UT1
FomhnKm5ccRudGy6TB2sSCYlQt70FHXtKzaF7BBtQUGxklaE1Wvodd4q9eWtNshbd/C+c+Tg4uP3
q0EmGbYtsiyZR+ce4RJks6iPH/ogotzm+UtVDoHKuTRfU8+893tM+uC8hPOORlKhVNAsgLyZrSRg
siZK1LM4/17Lx4ruXkWutZKkTl0HpXWu5b2L9W+iTKNYvmX4OcWVeJv34XGrenhMFv1lWZnL0K6g
iqFPukh7Gb/FUs7BeoI0VIruPq2Rs+7ja0MfZmZs3CItdDEUIdWgMTrqdHNRBvEFYOKEmliPHXWO
hoz+wOZ6gW9eOo19pkBgFlfw/RdscMqy02EdOEq1Tn3cn6wR0K5ZA9wMk3P6hJDjXB8rOUQf52Vf
Mx86L0aObfTBhKAC0yPtmJt6NQkydTNWVBvjDl1dEpwJniprgtz7ssxPeyu2yJ+luRL0U6Ozv3G0
UKhSr4AwnrByV5ZqymgZ+AJIkk/DID7rFI7aSDkN3PrEjbM7WnD3nRtxRqTWXaX2Z1lPatsFDuVx
nNixrfa+JoOMErYUH43BcamXZxSaFnmnUssJ7EvfyDmjJfO2yduzsfcnSAx9j3XjuIiot1bacNpi
LrUayoHEsTfPEgUtSTNhI5QA/hoBVT9Dx30P8qw8njSlpk09PNdQgzHvwi5JLjQgoUhG2dJEwnhr
1voQzFuwPtNOVynPJ+kwzSsLI6SxXFWgS2alHH63OmIYu28urLzSlk7ZZkv0K6vTpCjJuLQOFLxl
sym5MIBcaemQUxNzujWLy8DiTb9BsvLYDKxkieLnkUO0BTkm10JzMrYOnemnTtj/pWOiR/brluBX
WoHNLoa4+LPXliCSsqZwt9FoyCk/Y+tI1AwLKi6tOAf22luGuP4FjSoMGXTdeeKIkCO9ZmMaZsW6
SgqnyRaYONKnf8DkE9jLn7CZGAsJJRF46gqgcl3w/N7kYr0seW1Zps16pFcliEZehUmfnTxPkF/L
i8sfIHyosKi2jkIuLRVV1sWNvPkiBaGSwgz1nMjQcG6xoQDLlVjxMK5A/dHV0eq00Y8qwADXqBN5
lOIV/S60yd3yLLSPS29wThRLyEtbpdFfUMu50oaMLMkcPAvt/CistD/bvjBtlBmKtkVrAbB/i2wP
YHUpxoo8rvDkzPNMnVOEw0nUljyXYL9yKbxEgzMXtBl5VqUPRqx3a4vs8xylxTyeKjkg5kXm9to0
boFCxBWCcCA2Mu1cbhUjOm3j8Lysow44e9pTqrnQFHlrVPljyqGEkvWN1RarFN9fQzIzzg2eAgoy
UGB34SRzo0+O3GEoZlqUYNVbKrN4KH74tn9FGXOtqPmPRmuvY8XjxNXL8JsVoQzieFFzJll5uS4q
wzyOA9hrTkJfalSxXJck7YceVkhkuL68Tmv0f5MWHUlyMgMFcfsMvPy6SisEtVQbgASx87JOrdtB
ke5jFV5QFvowNOraUyHLa5gCekjZziEgBfR/xCVq7D4js7wt9RphStNO/asKVY95Az0N0r7c3+uQ
dBhFNUMeIKKUqEvlMAsRZynM2j72JcxO36y9XThj0b9+N5dRIZUBCuJsA73qXV0B++bC8xA9W3MA
bToyjevx2pqAawddnK5cZQLrfI4K/Ryq6cQ41hfaXF250//RNx607Jv7QHBIE+RYlBINwcziPPt5
qqN73DVe5WdrQvtjRI77aeQVLnkN0QgdBGdetK62KFWzRJHBls88q3SPFd4RDsDJdLCGteNCU7XV
8U/cKZ1FpdJur+t84drjn5aBuCD+0RC4xv6uiHNropbFMLWqUJsBGFLJfujQGH4/HzSccRUoX2gl
F2iYwlt0VqMG/FNVl7puKJMC4a1J4EAXStIVBflZpqG5k8n5vOu8UxV9FzIExHVaoowkCasZi3jd
AWJaFp4gZGjerddlK0VLzkitsNKw86UcMdEsp6C6L4fXv3/FP28iT1JOpHKocOsO9SPtSTj2zSbi
jGrn5IlbruU2CZdsBDEPz9kuBf7cyJBg0Atv8/uvfCLP/T2rPn7nu7cp9RgLtAiyrgtPQyWZKAt6
D3wwa6UnzVlWuDQxTaopFnoGRkyxlybZgAtkA3NGwlEosO/lgFItijo/XLqGeVGcqZl5Kbvjg+EV
fyZdUMyKtMifYff/H5zJL7c429Sb+RNW5rLZlsPVtqIP+ZcSuvjpRUbz9ib7937p9dDbfaEXlM7N
kG//8z82j4haIeJZl8FDDXacYxskz98IHlEh/emUf7qxp7v+7XXiDddpHvkGqqeUXFVObPA64sO3
xBmWCc8/lpC7/oJGmYM2MvOH73ozRr8ahd8/4PNw/v53fnvzHwaBE3nvQWDzdRxUCXDu4sPG+PMg
qF+QH4BDq/CT//1BeDsREBIg9PnHz88D/j0H0JuDQYFLC/q54sP589PjE+5RlSfQAj709DmEQfiw
HITZ5L8xEmLCvx0K4lkbrob2/KRs5D8Nhap+UWlBWMJl5n9/InwYA85tXt4/ng0/j4EtSOMEuwLR
9/PDy8g/PYkxPU+U5686vB1BxOj7jYGufLFQv7LV13nAzPp5KPAb1AzToB10qBPhPbnq3zkb0MFG
Bpuo5enzfltkXyBgRKTSes42D28miONsv5mgkeoqnH7yrwYBjXFhuKIo6qEuB2Xv5cAgAOFEhQcd
tqeP2DB+ihLUL8j3KOhIHGyU8DxFnxP/v0KvfxQqOV9UEQixHn45CEDs4IC97D8HuBz2PyBZDoh3
KvibfpwCoLOxZzOe19wBPv3z3NxjCohjQeToqogWxedDeKAzR7ATMIU37UHGB8r+OyIaxDJGU/js
Pg/C+7NReFFRRIBEcBDRMg/8IWXgve15LNhfLHgShvoSJ4rQ8+cdkVgJ2AlJg/m0Wxzq4aDvHyZg
yaNiioQn+i/mA+mDY2uigvr8Cwe6NOTn6brH/qCZImykfKb8eigsG36e/XImH94miaL4nksDf0+d
kBHG+/MxKYoU75eGKeSlmDIHOhOUvRcFg2DhN6XT73j/9PoXWgCaTJJ50KtB2T+RVNkCMbAgcnye
Ce8ngmJ8IYVitZBtis+h7pHK/mU244uGBgVJxPOT7iqxiBKUoqmHuiY+GCL883wSzyVLV3RcC55n
/vt8kuIKVQcIg87zJnSAu+P+WYT5hXdMCUmncPf0ebc/iGIbPyOdPNSZoO4/CDYVR1QJMVR8/vCo
Px0RDAJsOWydhRLsYcbRz29nn2ABW0JDVTX6js+D8H45EEfjGUYtTsjfHvL2+BlxE00IMkfrJbXm
JPhpPtCFoNKGU5uQsDzI+fAB//7Pt0cLSzqBLNd/UYZnEDS0GxUQmgc6CC9vZ59FwSBYCJYa8kti
9X5RcEbAAxDZxvOsO7wzQhAQ9kwuTWFl+oSTeVr4HyNofA0hE9BKPtQyg7p3BK1ZX1jv7AgQQZ4+
7/cEzgjHRN0LEe/n/fNAF8VLXXifRQEvRtRa0FrYPRQq0CrQBagwHGzMsH/Zyfqiybho/RU0fNgZ
yDuhPnNa6q/z5TBPiv2HghhSA2VHoLx7PojwCWMXqgyHelK8HGF7LApqsRyUDpHySzbxIdHGFxZY
lU5SdaA7g7Z3rYVNEokzBFaIlV83wZ8DJ3RdVIwbbe1QAydRINnzuCROBg2qkzI9Lwfe9/tBoNhC
9m0f6nGpP0/RfZYDsx3ipIa9xvMg8KjvB0GzFTR5Xgb8AAOn/VMq9j3I0ohqvuQRH2aC8gWtGl3A
8A51T9g/eqTshvYkvtPvT0jFovTIJMDa4XWzOMgTUtz4nluCRumR5ott/gq6YGGkqVFoOtiio/q8
Ye+xJYDto4IihuElTNi1GixRnVX/OjwOcj4I87c95wO5AmpltOteGjPvC07k1jQkiCa05/V3eLsj
UsT7DoKBrywiRjzo7rBRYD2pTwNlOdRgQUg17zkTNKosMtYnL4X4j5V48gzAsJRfD3YQ9k8g8NtC
+ZqC2kvq/GE5iOBa/IeehfgcamdG2ztuomWL9JyAeP2iHg++CwdKmV7eoYYMgi+y36IQ3Uq6EgQN
L7nUh/kAvov4mQ7+wc6E/ZsSNGaBbxEdvYDc3h+XhE+UZ2WO1KfxPrwjQt8/gBZiKji+AvZ+PiLe
jwHlV4JLU6c0d6CDoO0/CNSgWQo6Lra/GASFiUAHz3Ge04yDXRP7h5BPRVjLIix6DhF3bAw06qhO
6oc6CC83tk8cTURAFw7s60uR5X1exREhim2klYcaPH5w2vjH3SmOCGAaJh3LX0CbBDMCjBdI6OdV
c7DzYf+DAgysKdOKs5+Do4/tGfkLPwQSJySj+BzsUHxK6c0gwRS9qtdHfV91gpvNOBxs9KTvn1ch
M6bji2iYv0LHU3XCiEaY3h7ooSno8/uFkFAEAC+pMAlf9ocdmySCUSDiDrb09kEz4R9vkhrwb9a9
hofx83H5fhCeGjMUXMwXrOnhxZBC9G7PmYBuhAU2nHzhfQka+DwOAgr4xwNdB8b+O6Lo1SpgGsEu
PX0+1OHhC0GTsanV/+uD8C/Mk78IylM/iB+fqMnYzuxiMP/qF145uR9//gZA/8Q3/ek3BVX5+cuf
Yfbi///Xz8zlJ9bwm5++soifvunl718e8eOX//Rlr8/1+o+rYFtuygd/ePrB8HKj600Ct/m/Y/7r
cfMe/i8qwq//tptm/df8//3V8QnYvl7oDSebYuXfj/qRw/2vXTzZPGbl64XeXJyFs/fFJ3jh7rpx
Zure155u4k3LK6ler/Xm3pnv+18fHdHqwyslzCKq+4SLp3W5+WOaVfWur2A72/srZtv4j3VW7hx/
9p69rz+P/5hlJZPn9Vpvxp/cbe/rL0qsrHZdnJNu74sv422avl7nzY1/xnJdNcn3LH6sP15egP33
vvWjJN+WwSZ+vdTfdy9w9PtfHln518u8ufRnrNiTbbljzAVmYu+7PglSb8dGoHzGWj3dRDv2MEGr
2fu2TzdVtd01Jp+xQE+z6o//Tr1tvN01Mp+xRM82j2zAr+PwZrZ8xhI92+AmtOPan7FExbWRi9xx
6wJNuPdrPdumj9lDsGv3EhC9T7h++bB9fL3Q3+MuqKD7Xzzj3l+v8+ban7FMz7KdY/IZq5RL19ty
O+y4889YqetNvmu2fMY6XW/bzcfY0cBK9vVZ9ogdz8sNW8Drhd68zs9Yohfx5mG7I3YUTd295+EF
Cpe7gjvRot/74lcBoWMVPO4YGdH43fv615uHkpQgrXecpdpnrNLrTfrHZIvb2q4v+Iyl+vwFZbop
H3duZNpnLFrxJbNg6+16iM9YteL6C1bAQ1A97PqOz1i+4juOs03R7DqtRIvoEyZT+sdpE1R/nH8P
qnzXc3zGYhbPcbapt7uu/xnrmevXmz8mm/L7ZlfMINjhnzFSfMc03v0Nn7OwxVNMy2Z8vd2/91TB
W9z/EfzNzpxQ4Db3vzg1jJ2D/ymLOaginP+a1/t8MzCfspazeLMrehDl/v0HhsBklwO86HPvf/F6
kwZVvGmq14u9GZpPWbqizLLjHBa19r3v/mbrb3YNjWj07X/x3zqGPmkQ7hH83DTsBDuOeKEbs/+t
/95oZt97/71w8r5X/5bFO/Z5UZHfe1y+Nd93RMqi3P0/XHpXWfYvFciPxdpXdcddf/ZzLVr8xkO8
3ZT/9f8AAAD//w==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Where do our customer lives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 lives</a:t>
          </a:r>
        </a:p>
      </cx:txPr>
    </cx:title>
    <cx:plotArea>
      <cx:plotAreaRegion>
        <cx:plotSurface>
          <cx:spPr>
            <a:ln w="25400">
              <a:noFill/>
            </a:ln>
          </cx:spPr>
        </cx:plotSurface>
        <cx:series layoutId="regionMap" uniqueId="{6ED9890C-7066-4867-981F-4B7DBD7A0856}">
          <cx:tx>
            <cx:txData>
              <cx:f>_xlchart.v5.14</cx:f>
              <cx:v>Sum of Amount</cx:v>
            </cx:txData>
          </cx:tx>
          <cx:spPr>
            <a:ln>
              <a:solidFill>
                <a:sysClr val="windowText" lastClr="000000"/>
              </a:solidFill>
            </a:ln>
          </cx:spPr>
          <cx:dataId val="0"/>
          <cx:layoutPr>
            <cx:geography cultureLanguage="en-US" cultureRegion="IN" attribution="Powered by Bing">
              <cx:geoCache provider="{E9337A44-BEBE-4D9F-B70C-5C5E7DAFC167}">
                <cx:binary>5H1Zc9u4tu5fSeX50o2JBHHq9K7aICV5HmOn0y8sxVY4jwDHX3+XbCfHouRs+lbr4egqSaVsaoGL
/IA1Y+G/H7v/ekxWy+pTlyaZ+q/H7s/PgdbFf/3xh3oMVulSHaXhY5Wr/Ic+eszTP/IfP8LH1R9P
1bINM/8PgjD74zFYVnrVff7Xf8No/io/zx+XOsyzm3pV9bcrVSda/ebazkuflk9pmLmh0lX4qPGf
n51lEv7Iqyxcft68Rv78/O9kma6elp+cvM50//nTKtOh7r/0xerPzxvjkM+f/hjfbou1Twlwr+sn
IKb8yEbMJrZFxfOHf/6U5Jn/etnAhBwRThi3YOSXu14CKx/i6Jmf5dNTtVIKnuz5/+0BNh4D3sa/
//NbeFy/jTUAPmDx5+f7LNSrp093eqlX6vOnUOXPr6vqnXz9qPd3z+/mj00I//Xfo1/A2xr95g3K
41f7ny5tAvkfQHZyeJo1xkrvA2n7CGFbCEr5C9L2NtKYMtvkGK68hfqjfO3Ge+coE0DfSXdgyP87
KcJstYfVbR9ZgpoWNtluzLE44vAxTc42MZ/O0W60R/QTcB5RHBrC6fIpr/aCMAXhjIgNAG4KbgTQ
EiIoEmj9wSOAJzP0DsCb9FMA3qQ4MIBlrfU+VrA4MjGhDL23ggk+Mk1mYUxGAE9maDe+m+QT4N0k
ODB0v9Xf96GSxRFm2DSx4M9LFIGNtbmGAVybWzaz6ObqncrPbmw3qCdAu/H9A0PWyZNa7QdbggSh
oHvfwZYcIWRTSzBzE9vpHO1Gd0Q/Ad8RxaEhvEyWzapaqr1oXywsggl/bwGjI8teTwNmjUD+CFPv
4Lw1xBSot4gODO3rZPm42o+hZQsuMLNfzCkEEnksqxFnFCPyYmqLTcCn87Ub7RH9BKhHFAeGs7tK
Pl3mEJX551c1w0fcZGA8r93l9WcrJsKOCGIUYiKjoMiHmNqN8/YQE6DeJjowtGfJJzevwIX659Gm
9hEnwjLJawBMwMLdXNjgSIn1wjetZ00+srM/xNpuzLeHmID5NtGBYX4XrqrncBgE+f7RkCe4VBai
EPNkL5bZliRHR3AR2Zb9YrqNAJ/O1260R/QToB5RHBrOy+zTvFpmj6F6zH8qzX8mtM1thLhtv4rx
rYVNjhiE902bjnT13VuOpkicd4DeOcwUvHcSHhjsc0gHZPuQ59YRp9gCrxq/aO8x7OuYp23CHzxy
vKZztBvvEf0EoEcUB4bwIlll2ZTl88GUFchvgiBoQsCn2tTU5AgLG3NqjuyyyZzsBnaTfAKumwQH
BuuXVbBM9xAxYegIc8tCJnln4a5TkZRhCHaSXYbYdL52ozyinwDziOLAcD6u0+958qT/+RUMSHPb
woxtr2B2hC1MEdhfL8L7pz3wknT+CEu7Qd4aYQLMWzQHBvRJWqyqcJn880BTAq4Tsc11WOT5Mza1
sQm2uAm6GlJY68/I1P4IZ7vx3hphAt5bNIeGd9bvx+6yEQHNzF9zzVt2lw3aWVgW2OObq/pkIj/v
IPyWegq6b79/YMierap9GFzmEeXPKciXRbpepRt2F1jU69ISTAlEyt5WjkzlZzeyG9QTkN34/oEh
e7ks9mByQeyLCKjuguTxs/jdDmqDyWULyD7bI4t6Kj+7kd2gnoDsxvcPDNkzqDLcR2rKOoLlCNgy
81032IJrAP140U5laDe2m88zAdxNggND93wZ7yFDQUHggk3FEVT3PH+2CgfIkcAmtqB4YFMiT+Vn
N7Yb1BOg3fj+wSGr1GoP2hacI6gJgTTji5OLtmUy5JThMrOt0cI9X07l6D10N+gn4btBcWgI5+rT
vzN/laz2IZ/ZEUQ6CLV/yudxOS4G3cwoFPfBMl9/Rq7R+ceYewfxHYNMgX0H2YFhf7F8gpKRPXjE
1hEUjECAkr+WBY1taYKOkAVl2AyPkhLTOdqN9Yh+AswjioNDuAr3IL5hQ4XgzAR4X/PJ43UNUUyT
YhDeYuQGXywnMvQevm/JJ8H7luDA0IUU3noTRVUP+1nDHOLQCFsvpvUOiKEgG3KPYmR9fYyr3Tjv
GGMC2DuoDgzx9fIp8r2UcvIjkMcgse1Xk2wssyH+ISzGbQIG+fNn0+b+CGe7Md8aYQLiWzQHhvcX
kF6wB+6fX97r7AS4ziDCX5f3VvkXOFcQEsFQ27sJ9AdY2o3zeIAJMI9JDgxl2MyXhSpZ1vswwTk4
UgiyxdZ7XjSGEu21Ec5HqvpjXO3GescYE+DeQXVgiF+ssqf8MdxLach6vwUIaM5fw51jQU4oFHZy
i9J1yefbQPaHmNqN9/YQE+DeJjo4tKtH2LPr7GFfM0WWsKCI7x0bDcIsNmy8wfylCnAkyi9WU/l6
D+0N+klQb1AcGM5gf346zZdlvS+fC9Q1I1DO9/wZp5lhkxwREAoXYndF58eY2434riecAPsusgPD
/jqpoc3CHtY4mN3U4lC5/VowtGWoITDUbGHCFuhNcT6do91Yj+gnwDyiODCEL3JQ2f88wLARgwkE
+P10tLcK/tARrHrYGothxW/o66kM7cZ383kmwLtJcGDo3gVLtY+OFOBoQd8Bi9r0vd1z5IjaGNn2
uk7sLbzTOdqN74h+AsAjigND+CLfi7kNGQzoLPHLBNvaRwVxEwJxMtj9PI51T+RnN7obTzMB243v
Hx6yelWt9hAmodaRxS3OKXpdvTuMLsu0YH2PWwfB+57M07sIb44wDeVNmgND+jXCmyz3krbiR+tU
JJQbvOdO4SOo68PMHO9m/yBbu/HeNcgEyHeRHRjql6tmuZe+YCCaLcJtil7zlDtWN8LQu4CNcxzT
OdqN9Yh+AswjigNDGCbxp/M6VJ+uvoeq2Efhrgk1fsQCMCFjtf5sRcWg4AQqP6HFzEhN/z+wthvz
9waaAP57pAc2C65gg6S/j0oyChX6sLfZtt7rEAYNAk3oIWWNC1Cmc7Qb8xH9BKhHFAeG8G0ITUpU
+LQfkIWNTEpf67e3VjgG9Q4tTKAUdLTCP8TUbpy3h5gA9TbRgaG9FlsSqvWX1dN+Uh2wkQq6C2Gb
vua2xvobICeQxYSWJiPX+sOM7Yb9nQecgP07lAc3AR4raKSa6X1odBsCK9D4ERT6S/JjKzC6Dqyt
/8CujleNvxFeWX6Et/fw3xpjEvZbVAeHe/bpAhrU7gP25zoVDl7aa8n/Fuywm4OAkybYKNu1XnKT
mXoP7/EQk+AeEx0g2nIFdSr7gNsCy4ysu0O+s8MDsl4MEQQbbcfh02cZP5Wr9/EePdlEwEdUB4i4
G678fQAOu2kx5DlhR+14Ax6HbdMQKrd/ToVtnT6Zp/fh3hxiItqbRIcHNiRG5LL6vp+oG1s3qFmX
Cr/TEQEC6JawoScCtJF8/mzh/jH23sV+xzDT8N9BeGhzIFRx2Of1XtKf0MkGqk5/9uYHU31j3y2U
kltQvWbChoER8B/g6R3MxyNMgXtMc2hI58lyb3kyiMGscyk/zfExzogJ6Ea2pcgnc/QOypv0UzDe
pDg4hLN8H61tYJ81o8KCrdbv5cqeVbvFoM58tJIhEzqNo/cQ3qCfhPAGxYEh/KWGBNk+Qmyw3Zqi
dWOi1/aw4yD6Otct1ikycySrp3O0G+ER/QSERxQHhvDduhH/PhoAQ/EwJQSaPb8aY2MjHNwtC9wx
qDIcu1uTOdqN8OiJJiA8ojgwhL/U0LM93ct5KbB5z4awKGD4jiZGUJFEMLbJ1iqeztNulLeeagLO
WzQHhvQDRCXrvdQzQAdn6PBK0XuHIT2La+haZaHR1o8PsLQb5/EAE2AekxwYyt/yZB/REjj7iEMv
KtipNXaboL83h3310Glu09iayshuYDeoJ6C68f3/BZD+nsWNB14fdPbvn+92Ryvfjx9SB0W+lgVh
kN1ieR0HwWBcw2kqu+Igb0/We8lz7OJpN6pvaTee8eURf/9S9nME3fvH0/066c9d6uXs+YzANyfU
/f7q8+PD2YYj0te62x0v7FdHqJOnPz/Dhiq63vL+Btn1QJtVuz+zDD9nxibhCqqM//z8fOIggiSF
ZVkcEljMgjHb1a9L0B0UExNyHLDHft0aJYMzAILncww5dI2EYtN1l3bo7gtUKq9fL2HEwTSHHZtQ
SQ67tn+d43idJ72fZ79ezOvPn7I6vc7DTKs/P4M/Vrx8a82tiaCeFeKvNjS6g3w5h/bRcP1xebvu
mQRv4f+ouq3L1OrbK5RfVz6b9RF337yUHXcATt/cYd1zHDY1QFAHSumgMT10gtm8g9XymNa8rq8U
i05D/mCgK2HeKHaMveu2uVR49vv7QQ/V/3DHNUdvnol0dhUOOKmvoqI2pN37Wshe5SSVuZ+rm7bK
7dNGm8WlFZueVNbcivpyVnqdZ850qvks8jPr7w624JxYNGhkXxbMxSqnktrBuZknD5lNYqeo0FNj
xD9EZ/yVDYAAJkzynEUy8uEQx6xPTElJYM+qxEhl6of+MYutheqTcA51xnTuF2G+8Pouc8IujCSv
aiqzAVXSI+Gd0dpOUYe3dtOcCZPmkofNuVF6gFIUytSzC1m22mU9lb3V3nhe0krPoMd5jq+bgEo4
IvMkQ3Uo48g/ywWWNTXuKwP7ssn+bgZ63fHguOGDmmGtFqFmC1bYp0FodjKw8nZuFJVaeEF/kdd8
uOMaiUpWZq+yu7wMrGOrLJwIZ+VxaQWGvhkKBr+o06rLrxKfnWuE+WWWDuYxU3pw05qW32Nkn1tW
e2Gw9Lzg4UkXtxeV8C4NFF/2g/UVJ8KSpWEICYc+zisSPjITPSVGbs5ak110BTv1CHWbuDjXXjur
6/6kp+E1Gkon80o37Prztu/Oa7vKXT2kyPHN9kw16GtZkxljuS/TbLg3k86XXtrHl2GdXWexXtR2
exkP8SnKYy67wkIy1lUry87OpGpiJFmfzFTE70vdVzIykD8naVGf1HWrF4lH1I0dlv150ufmXNnk
LEmfhNFescC+VXWFJQ4SLYOgmuMiPfWS8LrOjLu2yeaBAbDkXTKzQyF5qp94UA8SW9EN8duZqNNa
Bh12oXG0y6L+Rtd5IFXROFbLFm3VzBHzXG3ZMsXIzfP8bsjYdeqVpdN2qpE6iZvbrg9uLQ+fVG3t
2oX9F4szp+Nm9aVABnWisPqR0QZmk1jQNpPD4CWSIebguFmh1j/LasstGY4ckGAnJI0sh9JwZhmt
xJ5/HYTNBTOj49JMFx0yZwnPnLrzzpTKjyuzkWrQrqmMS9BxLmmNExAUN73ta+mFSEnKvHkp6AOr
lENghThlnLUyM5P+OG7N5KRKsnkR+rWkvXEaq+GLKtpA9om+DKv8LmqQG0UNTGsvEk5tk6Woo2XE
7Yu8TCLZRW3stKrqpafa1DG9xj5+FjOvyuhVrr1I0se86KvQD14Pxf3147++5Cn8fT5f9X9+uT5T
939+Wqzyda9fNf7S+j6/vgW3eb3vWsls/LCl9d7Ray+n9r5z8UNKb10V+evM3S2l93IKz7bGe66l
/KnxoOcP7DM3QeWtdSiC+MEvjQc5XBv8UWpBsz4TDjP4H40njqDNPQVPda0k8Fqt/dJ4cKQJhh5i
aB2ugOwRqNCfD7qBE2j7HfqIrhvTvNFIa53HoZs+aFdwjsEQoyOd1/RtwzTj7ZXumthhOv6aN/0t
z5tmlgj/KsVl9JiHTSbDnn6hmkZOQw3vzubtDyNAc2KZTA7UGKRvlzOUJbACuZ/Mwsr7XvkxdrqE
V7Kps1smEn+BRO4t2sa7sOFAZzco+PeahndWM3wNUm3B1Ne1JAVzujxIj2NenNJCgbrgQSSpyOZD
Qu7gXm6rcS1hGQcuqXssI7uOHG+wLnQs7qHFeCCz2H+KlH3BKu8Gse4q8NVxznEhm6a/IQFCc2bD
Wo9Yc90Rns9sSizJSdfKNIkdzyew/EuHlnV0ghgJZVvgYxx46VzoXM3iUNuzui/ojMbewoqTSuY0
Fcdewb5UQsumF25N6awuFJJlZYZOmPYnA46Yo7PAlj4aHkzxlOaeW5HuQqn0lDf6rxoNoVNEqpOM
ho2sexBAVlMH0uz6VYPykwbzOacGlwIFDz5OfSlsw0nspJSsSqUfDscR4VdtyC858x0/rx5yw/wO
yuGM5/HCiAfXotwpFT6pvfiG9DSTvmnd2vCGvJD70sireZsklxUTt1aIvsfdgGSHQDKbCA9S8PY+
JexbZItLUvDW0U3G5kWNlRQdP8OR/cVIaOZYA3oImyiRbRadDdS7L7rqEsyPM7+KhVRJsmJG8HfX
GF8KWp93QXerhTVHlvFXbUSPiYhMaZp941SFz+WQ5PaMqPIH7/s7VBuhLJm4AJjOWzDPyipyPfYD
F+YM9GEm23qYFzxXLmHhXR5Ex1Zk5xL5fDFE3JRVlv9NM+sbTdXaKOmWrG5hfuGyBJski2Wj83Pc
JE8ezEhR0dRlJF/gxDqtrf44tzTYOGDSkIB+MZW/8MPQkINXXmPUagl6onPhtKFAVkYfuUZQ27Kn
YJogET9EGl7SkBmRNANlSpaSW20VM1Gkxz1KKzFTOitOPb/1L0mdP3TqW1KeUFhz31Idyrwv0XHg
x6EcNLvPyz646dtKnHhxAnYcV92CNV4oUd0ypy5xNOvrwJShUfwwo1aL8xaXOrvxAi/qwaiLy+G+
MfMwlmbT2UpI34vZXebRInYMnz6ELMpnDNd3sH1zkF7PZJcx0xVt4yZ2FLk8E4u+aJVrYNt2dVsl
p2HB+CxtPDwrWvotb8xoNgyw3JIApnTWaguUd+WEpkkdI0xd3xbdnV10lsyD4KoLhieiOxmWvu2G
YTlHoKDrOMWzocPeLLPswI1tf55wftkxJnUROgOyv4YmmA02WK3aDuaW1iehTWWFejfp8uskrOdF
Y2hnMNRZXqhCGo0+ZUHmXyZxdx8z6w7eLl6Ugl2qqLruyvpexOK4oixzfK/9riz2kOf0rxTxRBKv
dKKEprIsh2FuteGDGXRM5kMaOFCpedl6jZBZS1snDpJz1A4L+C1xwJIFy1Sb3wrDKiQpjVlF4x/9
UN4XEX8oyvAiqdj3Sg25g1J+ZWlxatU5GFklGK20bLHstW84yMPfURfd2iQ7B/BKKaKhlTrm92nT
tLBCqHbM1g5mpe271mAwF/bdDjKKSzfXsJh6WHp8gOcMyInym0aGgb6NapACBJ+CcXrm1fo8NpPK
4YJrmbRWIL0mFZKGaSJrbkcuS/Ew82K9MoJBz3NRRnNdi1AWBbrMPGHMmqTuj0mGTwffWxp9eh7E
w73RUyJx1z8aTRnd9UXXOVXbHheKZTLtRexyv3xscxRKo0KFk6fZfWhbZ0FRPIYD145PUPqly6pj
IyP3nNSp4xWARsK9eV/HyLU9G8RGe8LTwnM9qz4uItAOhX4UpGVSpQnMNZXWrSkT5BvVaYVw30iU
+NkMfFM1V55W4m+SKs0v/n+0iN6aNiZUov3OGHobTHkJxDw71c9UP91/DJXL666YCE7XM18c+V/G
ENTDrPcjQdceG4JB6yrGV/efwWGqeL3TFK0jQHBwH5gwP91/Av32YEA4C8qGncbQpvwjxhBe2zob
/r+A40egsa4FyXoKHScguPjWV9YDzYuyrrtLWMli1rReUIBij3jsxLxtbizD7E+jrsniGUKx/qZz
1oAgUV0plcjKr2/e3g7TbN2qecwN1HBDn2foYsLWm3g2uWFZX8QiqJtLUmb40o+HzIO1mFuB04Ga
ErJpWf2NNwVoxCq1demUURWDOzcozhzYmJs9Ca3RFYwR1C5JEnw/mIaNF71leivcG7ib/55jshlr
AFsSOqVBeAOCKAICONBRbcRxyAPAtteXtDN9kETdkNw3UPxA55qDQwh2UYcjN+SeLQdu9aHsY0QX
aVP12K2aXD8FnVLYAb1lukqHOfhtaYAaCAaYsT/z8yi4jmtxmioRKBey8eJBBeVZnLRmNwuVYV2E
VdCki98/1TYMcPIngqMu4EhIsMmfH/pNAIX3ht8aRaIuM+2Jh9y3MZEsJjA1iqzurtuuEneFh5O/
fn/b9Vx7OxeheQ3HNqdwviy4DYSu2XpzWxN1PiuUn11m9oAvcRzUl5kCFWp7wcPv7zT2ANZ3AkcD
znaAc1sEt0fzrMgYKKQqyC/tArFl2eZVsvC03RMZF8EMlXUyOBT1du5E1GzT/zRp1pNi80FhokDI
jcE5unA8zPj2UDgTBn6Whpe8jM1lGtXmMk7WPJhDqmZWleeyRwD9ok3KlsgyzvlKJ0KdtKJn551F
K+TQNspjJ+JZek+rAuIigd33q8JoChcZQ8odU+SsOjapNdTy929vfbDYmH++FhtQpkfgYFE2CrAh
qzYz0/SMC1x76TKstPIlNmKdMXDW+8w/bYMw/g4WT3HeDSUYKjnrQofghv/QfADN3wc+d1geNauw
ovypMYuAn/6eSWZugUwZhUm0LiWEGnEIqG1OJ6uyQ1QFml5EEJvyBJhtIhgWne6omOumrp2qK9FN
k/YmxFmCgDsVzhaKVMUiYQVx4qRMb4vETDvJk9b/2kZpftIrrWVhlsW9pWLb9crMc+o8gohcCH4i
ROAilV22haGuSmOgM9/HIpLG4GWpQxrw70xLJ7ck8q/9PqOdTGpeXmqv/KJJalDXagi8yLAnIBtY
PQwStXZ0ngSm/c1DNTsNLBufD37XCKdFAUvhIOw+PDHsqk9l29uDi1vTcIeoeyxUqe9qZPBAthDR
nHuqrE+YR8iXMsBtvPC4gcGyDmLvO2ySrsA8ykrj7zrlqVsUipzEeVac4FIkT2FTgB1X0DS+C4XX
cdmUzD+tvKp2engPC8yIuCrbtJuxtirnGHcY3GiTY99pWnCQnYYE3ixVtHLrQlwFnuEjF+NcH4Oq
Ia2TociStubJX12KgjNSieLOpNpc1CIyyFxZ6bC0rbyaKTAHh3mztoqNrkNLopL2h/KLwnQGolEt
M580/rzTUQ6Lo21nvd/U9rzKvcBNNE2PM/iqBHEO4UGrSRsuIxVFhsO9lkPY1uwGyXTiOVQbWbqo
rHjms7pHNy3FzA1VhRIZwUzSc6pboRYd5d25FQ9D4t3UbanTVPZh0mfVU+AFhAzfVGt0PA2kqECU
54+kTyNNK1nrugYDUsfglHSnIiyHRSNq7Z2kVRgWMiJJfoe4QU+intIaXBuReBCBRqIDuFJwPjLP
A30I0b22nFlx6yOnSjT2roISWTw/jnveBm7fJUKfW0pTmFGtl2PVOjXowrllBJF31cDSsXynhJAg
TDgaq3SeJWElZFKC8vJmXRNajuFBAgssaQ9lzMmVl6ZOIOrWA3eZJ+lMeWAVzM3MTwfHHkyQmBmJ
We2kQWUkslG9r65VaKTpLPdD+4dRNzxELsqJXoTMru1L0/B87zSjXHMzcrJOlUN/rKA4tApmhR/w
dOapZijnolJZOO8TK+2PEQQOCsckEEN3eGf2yaIKy9BwAFby1SjSAbuwbTBOXfiHjKskQoaCV55l
X6M0FekJhVhFMosDbd0OtYYwc2TkBJ8FbaB4JnlAAr3wqqbI7kAZ09PIH0g8ryEUns1ynfjDzMbd
IBw7AmfwIrV7mNoGLJXK9TCuTytqmonre9SvwWNsAM6QK7BPsiGiwyqJoabOtYGB1KV9GpQnGIXs
2A95DGGgOC6pG+ah5w4QqDCl0VaFuI68FiIoNCyjQaZFNBhnyEsYRJI93wR2BS9muA+G/CQIcevP
YsGCVq6/J7EIBYRjS5+WTteGEK3SXWj8XcFxQr0hQ1hH5BIPWTiE0m6YQb/0SUvqS6sQfe5motQX
Zp2BSvIVj4FApBTelhcGOPsGuZUsOC37NOnmqjWH8AxrX39hETGXZuelnrQxTN55nXWczpQ1hMB8
jaPUTWgZK8duvVmIw/Jb0rZgWUR+1Nwp02q/F1VAISfR+t7Mjk1EZGZ7MI6Z5FE3z6oGXw5dQdmN
0ib+grUB32gtQ9mOxj3vZg1EqMPjqiOkPcm4r8hVaHDxkKFyPTmjqFQLnqhAXXc907aDyhawCSBg
k7q5AqF7BhpMPFAbwexOQUpWLnTc6/ITcJg8ch1VdRzfEjsT7KRjUVtf6E6vjc+g767N2LC6Wd6m
cOs8H4ZGdiTVwwLFfP3wa9ZbkE/AV5HiS2Zm8BQ1xM09GcR5PDgibmDpFAnEO26yisOSr2qwCny4
BjKVQAjtqsSsrzJJiwDCYkFbdfVFagSFkiGqy27eQV8TOuubkqyFBiwmB54IBEgn8NpO1ln6ANEi
cWo3YWhLOzBjmBe9by3bjAIbXRX1t1R3SJ35YOZGED/I4ujOBm2xUBnCl6Xwy28QorVKGbAgJKe5
7Yv6zAtyv3H7ipfglPOeLgoCr9VBvOwf4yQ2r7taofy4RH0Tf22tFIKSqWekEBAQaxkSlgkENC3Y
CTILSR+oeWGl4quBIOyYtoVfSs5AzPVVG9yGuVZnIo0j0zVJRXwQe3DquWwCIh6qyGj8WUIyWCaD
4VFxwrIcl6sUBHJ/Ckdswtpo1xJ7FpkGvNGuGZoZKJm2PMNVTSzHE4luQNPSBoHpXUZ/V6IRX4we
zPTTQegKP2mV9QrCZpg3J2FLYKguxcHgsNa3/JMCYGkdI4aY3gBxZH3R9TyBJIUqpc3VMUu7xjwe
WgvAiRFWw6JI4jy/yKyOnRsasXwWlFnanPl9W0B4xVRp8AUsEfWERAZiBEQnZHTiQLUQdmwbuwQt
0Jd3iV/i8C+cD9Ru5AAWWH9faGoIGEx51SzgRuyfGl7Rfg98ZDROwpUVn4QC4ZtOGd6wqOpShbNw
qGGShkRHkBWMk8G8TK0iSWRZNMi6YDhgndODdaNmbVAAaq2dhb6sBp6C7FAqmeGOdpXbJMSuFoNd
wuyPWedzt/d6pCB+oazya2v2+EsUVDDXQNOJB5jrqbrORIZBwJJCRHM7DaxWdvU3YtetjWUcN/ze
JFnZuq3pa3bBvMRubktPiQqUO8zoWRFSQBMcB8j7hVTH+TmvioBekw4l1onX5RASCrvO8C/iyiha
N1UeyAywxmp9kSQe8F+J2J+rwI4Dt+0QOulLBuu+h2R+KJkX7ClGchE+VrnKf+hx2uht1uhf//ty
Swjc5/dzS2Cu1mr5NgDzUoaxpvoZToGqVA5dLzHEKsBNYhSM/l/hFCg6h3IDGxqbm1DxSKCg42c1
hYAzaCAEA+XKwoSuIOu0089win0EniakACBPBf4Mh2MqPpBbgoqJkWsEuSU4O45B5wFgAQ5lXl9/
48N2reeDKvDYVTwUHBIgVp7S75CP194ViBmaphcGmLXHtscTx6iDu575TMYWK9yM1AjSqhZkXpIy
ntVCM1eZKTpGbRy5dkcrp27yJe4H36nNcDmUqnNTCmGBSlmQdPZBynvRdVTC2vI9PStSxWRjw/q2
+wEdh8JSblxjD0zguJGtkTazoNKJG1j6rM4KITEPvzbYuglptrCStHLyzs2aYRGWupUNSiEvHuU3
g98+5FZ+ohjE9MMkB9NFG74jQOLIsBqWIqpuLAti93UK+SWRkGuCdHJRsyGfg1LPXOIlOdjT5Q/q
+cs6qrWTGnym+1XbEdMFn2LWGNR3kzS76Aj7WmR+IZXdFlBJAF5URdvCiQvId9HcgJiKLSoHN90Z
HcJoRqphVdvevM6bMyzaBeZgoBT5QlE1q8DsJxFuwHKGmP//Ze/MluTUtW79KucFOIFAEnB5aLLP
rNbV3RDlphBISHSie/p/pP2vvb28utjXZ985omxnZSZozjnGNybd6H8bIgx5Uw6Px4291T/pZd2t
DMOALfIuFtBix7p8DC1cO6WaXQ09ZjbVo4qcdIC1APzjKByb4BRBLWL13Yiv1NYU+sFcdno7wCrY
hLw5EFZ/1r1QCVSgkztGJ3SGOqEq1/wAE667I7Pb5G9Vpwov631T6DtnHZZmWxO9wDiT7suyVpGB
MSa/eMzfzAJ4QunZL1EvNmBuimQK8ePSTt9g1vcJ7LQorsd5NyziQnUeZs40L5t2EB+Tw4EwhMsr
d6PHYZ3vyEjeoB8Aflhf4V9FCWe9nwUF/Vp682Fyi+VNiVZivG0wscPoCkdMi8xtdxXr7lA2d0EX
OifMsY9LibfVKNvGRRHe5HNfJqFYP+ADp1YMcF4kj7KBL+5uDT5IZSiawOFpHNAB1A31YLR4F1lE
/pY5JQZMjOoNYWkHrSxxjPhSwAZIoLivm3CqAJ8sxdZz+tdyMjuD2ybRoZ4B+4i4Cfo1GwrdAKWQ
+3mieRJ2zu2SOy/d4B5445O08qpPLBcF+nkviPt8iXE3p6hfOxXIIOGDOWjWT7HAtGHbkIGJkR+9
GG6amr6PfX7iaq1iuVQXKD3H5koJcRMdNUaj2PP9ManQmnSiFHE1jNO2nVH2BuGT2IsQypLh6woH
tlZs7/bFqy/95mF14EA4IoQo4LFPgSMeZs+Bjza9tIKW+0ZE+3Vuj3kRNsfc9C98zrcQ0x4czvfC
D2+cqL8TLv/W0PVS191OGlybK1/gDRBtUygL9+NothLNWGHLbVeJKJNzpGPcPfytH/u98Cp7n4ej
gBigNvU8HfnQyx901n+xCR8i31+Xth/7cv9Y2q7/6l+lDdhEBLQJKO8Vcrhq/v8qbdcFF0F41Sxx
IrhXYuE3pwB7v/EjlJyAITgLs+rfpQ0PlkdEi0VgDAFd+AH7T0oblpj+WtpoAAADz+CLsF0JKd3r
z38qbRSSpfbzhdwwNQ1yV44jpMmwlecqVwldgUGJ9TlHGfDaQW2nAn18KdAyizxmpthGucI8DB+y
G6Cx+gZlAtcjeOejzYuE1/Pen3sMvztWOa+mKOAMw+osbkgVFWdTYsrjDJBBQNY5lj06RVzbXxWF
vrZYJtGsha8BOkRwDc6wodPwupp6N3koJT4bb8tp8LNWO6iGvntcx3m53qfnqzMDhwFEn2MXNKbu
t7LpP6bV+xo6TZkaK0UCXuGhDmf4nDN9nRbnuVspjyFsphUcnGRco4vmy3J0qLznV7NtBvgWzzlc
YyAy+EP/wXJL8Rf7LxgEU+IZDwdQWcZ5jmMPekkbr8b/4soXttwKzMtx78I4njo4+ZFI82Do0smf
Fpow6c51rIXvD2njL9O+6/0heiclzcesnLt6J/QokmjWcueWgBpV5dh4oHOTuTmKBvyDOeu9UG3c
ZZF73xs7kvASJ/pSTMOdWFqCN6a6uxEe0NY2Y4vTVOGj6vMi7jvqxqKtrhyd9OK65S9m7TCCWzll
tKNhbAzOi+Hqw8+RgXwT5WzLg2m5w7VJ48pWYLamMRHoHw6RWusYJnx5zplbpVNk+4MoxmA7d8US
a4pWMW09HKCO8HHSSfvhRSbctqK1IMXyYke483kc8PXhia/oGUblx6TVVQxXxOwoTsII5GBsWyiB
usGl2mFuV67tE8MqdRv6hcxIr3ksnaXMIqIBQCofEsrYs20oMDvOJNpCYRLAWRx1G6ymOOCTg8ec
T/o9NJBWvaV0d7lL8dm4jhtrb5SxTwYMEPAfJC4nR39uoIfHpi+9uGe9gG/vdMcpMNOxmGy3hVEF
QxnJjm0zcJXhy6Mg1thHSQMK7lB8EIf6295dHBG7a+1vq6gBbBGG9LNbg2YAn3NVeMsgLuoO9GRD
xwxEBXHwW2qeVtqqz7jnINhWnrubVqmHTFTh6mazH86baGRd9aFqs+xCcMp3mJlbVMGgPw45QNSj
D+ygc+dHBW40VS6AVu1HcmNU+7Q46DvcNR9iE00m68WcsLF/dYr2GWFgMBRhNGWiXiHL1PAzKjeo
42Cpnog26FH78m2JVtRKUYjTYsMwpg2E9dXeAWMOY8ah7xkdtPvI8m9CjW/Whe5YhDACI+djqoY+
Ybp89Z3qoCikY1DGWx92WIK+9XqIRGd8FHsrow+D+9SxuC6GOnx0Q3bbEnFAYxHEujOXwKVfPB49
j8qZU9LNt8Pahfuw63Zm7R/6NfoE2DXPXJhySWu7bKxg4ZV5uWx9b62SSoOICGt9nIo+6UJxX7gd
dLkib2ILrevI3PV9hvAEKsjblUYcZJDfhD4Y2Nlv0wXoGu6Usos1LrarfKxjqqPycxVq/cblUO0K
fyyhgQAMnkFtHJApAEjDTR9TNJVRz3BmuVZn3G9vzeQ88L6ftpWU5aHQFreyKZpMLlOIXwlYyOIM
fAMChce5mYq7mkQABnC73NnrzbO6Odis64sODRNZlZfR1u2b8l4VXZOGHgQInDB221cc1BSbo21D
yZKtFeiuyoJ/c/Ng2c52qaDbltAyg5pm0Qp1n3fsA3Lwmkq67pehunF1e6z96sTsXGf+5Hpbf/JV
5qMN3sBcLjcCz6MDWpuTlLrG7Dw+s7SCel8KKHl5WXpbz79ysxV+W1HjrvWmycRK+0XMBZSLpcEp
5bY52U4a75R1UF/ECPDXVoRvnUqiL0ODE7fFUCS6VjTGMfW/Ntl/W52ryf3Xrc5vD+r6Y7Nz/Xe/
NTuIuMBh9gIfvQSWpl83Zv+r2UEoEUR7iGXqIB/QtfzW61yfRQgggmDAp54X4nnA/+51sDEGeBHY
ATQm6FP4fxSKAJf0a68Tfl8n5oMOxSDvkV96napzpBesnrip3ZXmZ+EN7G0mrgj3rNO6uDXOxA6r
bfkbF/C9dpGjMSRNszO9QhfrnyJBzUMUlWyFg2wns/F1MDz3PuZvyLMqyLioTExL52n2fODKxUoT
5SFU4M38Ngz11hbkxo78sVDL+1Ss7zDRKO6/e96HKKzc3XqqLm+8JcCUIzkMmzy1oH0Er7qY9xjI
i27sk8Jd3mXbjUk7ofpbr+jjHpUuXtZQwTMJN0qPc+zoAEeuhWhadABXp3zX1Pyejuy+LjlJJRza
JZ8va9gVaTSS91a3D43vvYmw8mODvmKjdWXjwlvBgJURbMnRlAkA4PuKBydIEC9eLTeSa3WqO3O0
Qtq4zb0wpX1AgHEWXQyxF3GHVd6PsFZbujZnH3QE6EFKUO0w2HU11NeJjlPcKQyWgz+jFOhCnZD+
z9agefF5OyY9cZvUut23Feg33JDrGdHbneorYLj1jki0TUFQbVC8EkrB34WeB7UAh4AAOo5fikxJ
MYZsV2r8iY4zXMXIPGkhvwaRvAupAEWvvgBNeORmQDUfKnrKWb4vG+eubFr4XiwQkARMHheWnwro
TlC96L3g/BG8agX2NPjKjT6ui3/fLCE0FTdUqdZBEDejqZBQmY+6JMngTmNMjd6q0pljD24wTA4A
sq1+qnivUg4gb0NmwPjN8KBhniTOhKoj3HBD22C82LBAZGTpwyHu6H6QvH4KazbjgLd36zjymPni
olcrkbhw/bRa7KduqT7n48R2XHQ2Bo69wWj/zL3wJUCD7nXkHSJTGcPfja073jtLuGnz9UbJEjq+
t4nyW1ys5kJHe1KRvF0X/lbyCM6iXMmmm0sQu5Ec9m6zHAeOy46w6mQ8k4Z1h1/cCZ/hVjsxRPky
IdWcJ05XbuQkL6ypb/yoOyKofjv2YRsPVwmiCOjG8ds36jipYN6nGvYcZvDg0Iz8ZiknRGm4PTpR
vinG1qR13j+GVfCZO/O54/abl9ePQOD2JOCnapRk74qAQxuK0FgYfA95VX9VZMIttgLIDWdl00bz
G7x5Hg+TeAHiXMXErW+8nNy2jG7aSH52HEgNBnJSIKSKa7++RWYjPGlfHBHv0M+CI0SjFuXFDrDx
o6MsvEw03XHucp4Edf0+5Tk66EXdkT5/QfRlQeDCgxgV0V0Urielh7MlEjIIJhFevw8+7AmGF528
uwrzisqjvWiGm165W8AnOx82w6bMIb9hsz2a6lBvFqlB+MJgxEEbL0wcYD77x5J0+q6fZd4f5pHM
OCA0YiGev6YRrMAdMOdnRNhVXBiYHnFbVv2mVe6wBVMMuUcbkzYz9a7G2sFxS3IRuLHAV5TsRgcY
htjY4csZgvl5bXVx3xGijhWt2HbAR5BNylE7EjgL0EoS+HGBacONRz6I3eCgxUOXiJdeGpdsnCqX
8ffq9P97mb7uP/67Mv3/FGIpX/+gtv/4Z79V6evKveszx0L45z8UhH9XaTzMBNWburgAIUh4v5bp
CBt4KVR3cI/40W9qO1Y6oqSGAeIfUMivGv1/oLaj8v9apsGWY687DDz4+270a5IjnIs2sqFA0g/6
5CFUET13ej6GWrUJs90Tr+u0rSBWaBOo9ZswfYtud1kAVADShpev7iLRaHDFiFcV9GD62uDC7suY
rBjkA0mcbalGjGKN2BRyFHuQHgiWNSjG8OIKjNpjqzd1ANnzYSma10gsJnbwkKc4gN1eJY3X08M4
O+uBNXoWebKES3mwSqaLlzu4vLuPItIr+D833y7EgEQiMtorW4xPDfavHL2Sy3Poa4A25UNjfdFk
Yb24m4aEZTp2jpsGY6RT468+VGpMmZhm4M2R6CiDbsjagiRs8IYNm5tLyCBTjr6JNqOCiOLkA+Rx
oaddN/UX0vcRohrtazcVp4VgdgNV7vXeGePtcVqvxQ5xSsw+uOGrMEwm29tM4xsGSu8MGV6s+Mgn
w9+gVY9IdrFWoEw4YENET3ZRZ++F9B/CytV233zPDJbX+CAQokRfA4Xt92whH645Q2HzYIz9IKdb
n0wjAgQ5+5C5nfbXzWVbq6VM11rfLlV/gXVy0EpcWtc7hoOzMf10cGqemhW+Xqtjt1oTVjZfMYHd
l0P0+t/DA4FdrOaCxPjXPT4WrCIMnVwfzvHHNv/7Ntb3/00440l1SD9D6MJTr74nt34+QABB4jBA
k42T4Pp8+N/suu+LXzme1QBV86qF/qRpYkkoJFIPD51HWhALbML/5ABBrOzXAwQUNVRVnG0McDa9
/hI/a5qg1IhSHTM3kP4ReRhmLyHTsmQzNLzYmwuyn3K5Uf6y17X2mjjS4rWOgkM9lhuQPFusgrgE
tt0DK7gBeJC5tF4SVQXmpMrA4FjqnhaXvoCEBLnf4+AJca+Mi3zkXX5TucMaN7KQsTZVcDcX/nq1
1avGzVTIXXRGbHJhrruXFVHLNFrpuAVcphLJEE3V7iCSkkSYwNE/kWJJSVhka25KGFrM7Cyf6tTJ
6WVeGmSEcVsm4P9ZKkBApuPofhrJkAZIx0ze0IONpDLhLrQI1rEvHO8zaa59WRsBxYA+gEARKCJY
59UXgEVhtuRGx7YWEv2M2KNPz/eqQT7UBQhotONuXeOrI2POdAI0FF2zFfC8uupT2dYydkCsJQgy
3xjIEuyqqUwr3Qzc4vHALUQc2X7iQXHTtGSKfX86AR9tN36b2zgHgZxqRzXJRN02iTp8prK156aB
JyQXozbr6Gybjh2Y9p7qaryPoGTEwKhYvE5kF/gtBGNZfh2Jfy70elm9ekxsQH1oA92LGpwktziG
ZdmcLAYciHNelBTSJs46D4mR6D96g7mnAS2RKo/vq4HfyRy+kz/1U4p2MWtpHW4mx3xpPeToPLe/
eD4U0tbZGrc+1ZjbEE4/+v7aJTXtjy0QVLxof9uWfIhDiY/GHRebUXh6vS6SvrLbtvXPARNyM0TG
SdqxAuhHdCobB06Ocytn059X2Q749kr4xCG/R9k8R40yWbeMc0JrGoAxgyfmGxBfig59Vkk3QPAl
z/qif5yjWWzGSp8Lmr8t7bhslBMC/vJ5ygb3ibbtW+W3QUpUlS7tAI6tLO4gNJ7IXKdAUi9tH33t
+NSk9djjM+z5vmhLEq+cnQbb35TfS6/5XoYBJ8odut00ks0TpFwwout47MuVnrWVzaHCMW2kez+w
7mvYLEmHY7zBcY5UftrgeI9wzHc47g2O/dKYw4wyoI26BY8o07YXFtIRagVH0Vi5Y5HHn3y6Lb8X
FQpH+8Hj67lokW8nqpw2xTXzPvkcr0vB5XTbKUAqfkE8flr924699tfUfG2jTxqpQIU4fed1iOAP
bD8hs1Q0661dvV0+lhMaanuHwy7uEM1HHgQJrBIjU47Yvt8Pp/Ca45fhcDQI9gckSPKleFiRFIRE
BolPXLcAeN2AG6UO9DYqCGLw120BPtYGqOv+gPa6ScC77hQw1+0CjsWVoxtSxfq6e6DGEoIQywgC
qj8MlhPU1y0FFOsKVl2cGJFXERGbDDD5IRDU5aBeq+ZzaJ38FElxLmdEyRbXva2BLMATackNRLlv
/grUyV2nb7YHQ1jz+R5ORLP39fhGTL1pKdzpMjgjkLmJQC2lNfYmJCHtKaTA4lnPkU3lhCR3uGzH
3KRu091GpTq6vNqs1zA7a/NLFQxlikZnZ/QSHQKHfQptnuKVxwTyzCNxmbcVDAnHtSVN1szVnLWO
d55xG9wGJrpH67CbFUXsTo1QmTFfeU1F4tIgisWCIcV7LdHj9TQBb/suWgAAw4LpnyuwS6FBC/al
bIJ70LL3Ep8J6gBJvAIzx6DC23rwNq5A4iQfJY2b/JrtXTGjoi/ZirYN4rJS2C8xOF9L/HdhiAQa
Y8VBseIiKk/G3JbjkTpEZ/hClx3z5vtZq5TUjUgLU5LUhnoXzW2I27Yr9rOZk9xB+M8/ChhxV7Ho
ze1XOMB1FxczZXFB540j2gevRBB3XbqkENxmc3lNqxb9F+Q0ysTp/W3HgjUe2/Zc9KzDVdM8WDaf
qNtXCQZndFE462VzmUyj9g2ZbophvncXk4GfWzaMB0fTRjuHONOjWBe7maz3TUZ2jvsguKtFgLij
Wv3kv/3Uj37qbzXTH/3U/y5e/pOO6vfCKRa1ULBPsH2vTOfvhFOOFS7ojRgeDvxznsxn/5cQLNNG
pCwKA9+lP3VUPkY8D3vBfB+hKyxTof9RR/VrPwWzGTF99G2ej6HR/yVz4QtcLsNS04uo39b+Ms8/
+m1gbX8e3v+Tjg2WNnIdDM8CQeSKBehTf+7YbN7TIWezvQBnz3BRfywNvai8umfd8AFQM+2qrkxr
Cn+FOHqPJQA78JyZDZom5g43WzP5Wx0gX9m7j5UVG9o3Xx2FNIQXnSzr5qQfJFhWoW7AxjB58seh
9W8AKxrAicioF/gQodq09bLxzbJClXTZfhZ9/jEx9+z7oBjTZSiDlNJSfW09sLwQwFRG4bvGHTKZ
LxVOcdQ++sWKud4MJCgSKpHqArJk4oKEN0ETOGgBu5eoK/wMQRxALZROt9WMeKzvmWFDOqjGwIGP
Y1e+Sc87Mc+DVFNjBQrkrp3SZqc1Fq90yJbkTG2BR51DUcDlWfWb4yIdSuj8UUsHOxCubUaNiK+l
YVpATQyqGvoUjvg2epOug9yEPQyNazBRL3ezDA/VOiNEv8LlHOShDYL3nECXHQLYVWCjrCzfB6QF
cE5gbmbhTqHPcxD6YXpKRe69goiH6BTs6padqG6B+HjjWUFq4rWfdU274wtOVUOjp6pch90q1W2X
G7RdqzgOpfvatN7Vy6oO1KGPgyLySm/BeF3pA9A1k4h+FpkNy/2i2jJmFWNQ8/jWbcs+Nly+WRpl
k9vB2CyuqMswbkA2HGZ0YxEdn6nxk0mwC+/5K1bX3MgS6m2do9nN621AxzPQ672B9V7M1bMYF3QG
0bRT43QSnnrgqIkYlNWzp/snkgfPPLcb0wH0WtnGmbs3Tocm7oZo6/j9q8GbRy5k3jpAGSRcATQd
SZez1JfzqZmqEHov6De6YBgZwh4hvAC6Mg/ecBdsqrJ6LfIc5kE/VBsHC5aCpv1YTLULhyqjfvNm
O/fVcdyHPsDMLsEjjHOUuEx9XmV+h6z5GoulOElEKLekaIBQOAGO+ihpGysStBtV7NZwGQkwWacR
YxauATuHc68PZcnX1GnImDL+UEX0xSK3t3FALMeg63D3VNODS6qjY5sQOMiEktiiy3EIu59DmBN2
seo4Am2LEWbrs0g1IzTuMs+mnl+KweNZyfiTy5Htjto8/IzUBmhFmLYmHhsU1BREfd4n9eKA3KrK
sbzMXclPLZb3pBE+itiXDaA8B/1gpYxIqUDVVtZxs2GlfYxYo7w3IfcGtHXAtzgDEI/w39B2x2GY
bxrEEPdIOlJkY+AcE6/tdywMq6wo7YmTAqttZKO3ZGXbHHEQZPY9LKKhqkFIpDVAI0p1E8Auh1Dr
9JDb8Y7zvPnC1uWpy/33QEL38Mm5EqROIgIBe1HOKZce+E9FGHBQNkOKNvWDYdbBrRrk6tlKfT+N
3ZQA0bmhQPhxsiRdRVM/IDYFrX8M2gAHIsEvHUx32vpF0sAdwhl1KNp8Bzs6q0YoUutwAhWCfkqc
XeU+S7hDvnUPE/icrZ7lG61yBlt4AFSY8yMZ3DnOaRl8bibHS1ZQpwCjkfd6lKSeNmPpb/0Abg84
7DAR4SqztSy78xrKi+81OwkqjbS8T1Tfx3NtsWNoYimOvL0HJywrfN7t1TJ+4k7zWHs1+EkY52nf
WZEt01BHOHMsKERu3jQdHJy/zgcafDddLMZ1vBxNu4bTG8ya2Li1yGDcjZUYtxpj+BZHv3jOW7yC
Z9Wjrv0S6I0bHezSgRqoiouOGGZNiJwABTwBtyV4ZC1ilzGtKFpdLOBIF5rnG0QlHnm+PIaarS/I
8pXQ302/YfDo4mCaN8MSYuR0R73F0goDHw/UPxxn+9KVKtzMUPwALpZIZQEOHXZ01PiKp2bjw/hI
l9q88rHZa9g5c7Bktjc37hIcZLt8ckWVjSUiJqYRn6zywKK20RGs+7g3TtWlJlcLdoQhdti47ivC
mn7qz7R9sbwhaWOgu0uBCz0oLeaQ3H/x5mh4yD02b9D0R0ll3eUH3feX5RnK7k/BUHimCKRzglYj
wmM9sM7nFznFq2vuh0WlEW+rUiTq9jCmsG+t/6cA7Z+/DhbKIdXp47b/tQlAihQ4rtCXWqlzz71P
OJVuw7p+w3HZIQoZ4QtY1G6cm40K5a73xEkAAQo9fcRJdWJ5H1fw80Ru73nrZr6AKYslNrrIvxnL
QUPhFqBreOFuAQHsXzrZ7Y+Q7//5ad/en/7mDLFULFZG9tb9hQ9ntTVQISVColhlUyyPboVUnTn9
/Yv8suEI3wOegwbn+grr4TPChf77JqnHFL3UEjl65Oh66NF07xscDG7eom6MIxbHOOMLEt7mTke4
BiN3P4XYHmGWBgeV796tVY3tZKBxrPCjB42qBKQai9oI1oOZCaXcQ9AGUN+lBKqLtXn4zD3cN7ye
4NNgg8o9I+pdDiohGFu36wSHqyc8E6qUmRz8L07nQZHubIJTiccLjUhiWsBNopNQshq0NoLv29X7
Bg7qfYaabhkWZsyBOi8YCuMACfWdS6bq7IqmjtcZC4MKghlSRNiPQ8riKbekfmwRG0kjgtm3brCa
DU7pjkPYHg1KHLlqYlhzkEHfucGiKp3OK/gQ4qtT7r5burEs2ONcfA0d7JsJoBwtFX1V12yiboA3
NeCofajvK0XrAWH/utfDmnR26l031AxBofkAl/Rdlp74gll96/K2TgMlzp5ZVez37ab0sYfGYhys
OVeXCLwO4et8bIP+x2KOv7wryZ9eD7ghQ1wOIR5ze33gzs9Nc+4jpIifDRfslXz3MaenazOqC3fa
PsZ5+oYJESJkLxLCZyg735c7qTM+FXBcQgY7gAPnAeM/wMgzM+ELFsaITV+zdmOtS/c182D/l7JG
3mAMM9fQegfQuUknpPxSwNfoR3AQubXBqkPWPhR1OSdE9DD4YSPEQ9PGumk3iPoiFsPfIyzSSEZi
kMiuvU/cW9A7L8A4B5ICfWoB2zsSCgt/AX8Jfdb7yoNZxs2EYwA8OtfzYx5VpwDceGv8B1CjuEIA
ZC3eAxvHs6zEQ1uCbQiiLV+Gl1BirEff6Ga8tegF2zHrLShFhLCg6VVO6mIdYwra8N3BNZE0kf9K
fOeFiLFNW+zPQMzK3YwrXHpnNhmh3dZ1q32kx8wzyBiLMaUSnlEYTscAm5smMvYo88DK1fCIMMMl
Cud9b5Z3cFBfWh/PTQ14hk1QZ2mh743yxoj5FGi+mQxNRQBPqdSQ8qLyDuKf3CP1nSG8mHGVg6JH
Q2N4gbkEN+PoRHdwqz7KwMlBArgJtVhgM1jIvD0yd8WQYKMwIsL+tvRB/YWkqDNarNBV0aFKK04O
FhFJMj0bM8SFU94ysImFMBtPOscaVVxMBahB9To2MIMRcgU/gjWZBFVT5dNmQHnXXQ0cw2mrVEln
W03hca1kHERItE2kmJLexaG7emRTEQAoU3ibh2RX6AFsZHvSIUPXOyikeBukPxYVHGgxHRuvgrd3
pS8BJxLk4EGAIYvr9JgSFAdtg7yxxSLCfLrlLAvkhD7mUs8bvmwM3cFXesbqQzB77pmzrsvmnJ4q
gVjdmOf50XpjkPRYHpcE4Ce30wh6Hn3DziyQyBce7LoRXUhgoB0FIG7HvCP/UNqud+K/V0P8OLl/
ulOvfPjPd6onogWIp0QQF3V/7M+1nrH7BKTsdCO7M8HE8vel4vcO6h9f75dK6gmhMV3gZDDmG8Em
hvn+GlApXia6+/sXum6s/cM7A/OD3BagrgCpj9+/s6kfsBDJHcERkaVAcm/ukzL3rkvFEGc1Dq65
eTw2TenGBtsBz+E1dcErg21jFXDVCf8v8B7nA8T23az9EEamfXJKc2Pc4EGhfcPUkwy99zAXyEXp
odhgi9ibruizI1RzX1g5Zkwg3l0ze2SVC1+BZAu2mCVo8bZ68INn7Hh5aFZIcz47WB+7tXzvuBbL
nmFvAaLCxw5lG5HKo/Sg0GKzLNIaCTIqz3XTZaXK91ODvXxqDsGw1O+ru7AEeyNe2znqnr1rIsvr
/eIfPtXfr5/58fX9/KGCiPv5ckFwTGPtYDhfwvlNrJ+X8J+2aPzDl/ZL4XAdhR65kMulDB+aKopb
/9M/XBZ//wK/bvypeS1d6RXLhXm3JWAvfEyuWH6oin9ZAK+fwq83FQCGkKMlJQw7lX//Kc1Bj3w/
xbtA4ssbvgxTjZ7kUzkH//BtXJde/vRC121ADNgDIyi114Uj3xen/BSRWKoSuOnaIMcUky8oaumj
2vwPe+exHMe1ZdEvSkV6M+w0ZYGCN+QkAwDB9N7n1/e6kEhBoESGooetN+oXr8EqFLLuPWbvtUMf
UpibeA9u6T7sTW88e75OvPh+Dp7yYHnmG93ttP3PP1UR3/DujfzwtX57o+/eiDMmTu2wtTr1m9GX
PeTeN8O2uIo3TuB4OSjaLZ/zhh2ci6Q/cPx6DPRT+fLzd2H83bt4/3SKw+fdu8jDDk9Xy+f+OO/V
wHL7jXNpuYCg3djfPhjemekXW+cUb+ZdeWPsbkM/2s47zj133UJ76nxGZ77jYy/bQWa5iNmQuJF/
X7nDSfaWrbF39tUR+cJdsbn5+Vv/yJB+q6Dfv/UPFbSkdkkOZorn0q3cetO91pv6VvFB4vmhH/tJ
gOrjUG0vX86CYW94NOzpIXWdQ3pCUOyFkDncL6F3//N39UaT+vFB/n6Gmh9uhwQ+VGuZvKt477ix
t+6KbXhbIiL0kNgj63Zbb3HzrX1qdupnBmnBz19ffE9+fPk/v0cfThuOGmnp6mU+yWsVWNN0XKXs
NA5y9YtLSZwqP3udD6eODdRwHNd8OVFTo0d9kefdZD4vGHjknlHU5ue/1d+fod9/q4/NpFRw+BtN
OpxiPBtLeF1HV/+3F/jQ82mznZtmQQOVGUc1ZQ7o/Iqx/os/zEfUkVTUdmktfNGq+tShta3VxxUU
5//t1/hwinYKMtrRSvvTLP4qKwLiOfV+/hK/+j0+PGADpouh7IrlNLGzTswTiByPpebPX+QXT5f1
4VQyw0haGM5xG8ympztlkOX9hQYqA7msl07qaWRl+/OX/NvfSyhgRIi57Ij1y/uD0EZJF9ZJP5z0
4mubbjItZsi3/flr/O1j/O41Pnxp8sjpJKyi88lIdeb3V0Xxi6nCr17gw5G4ZsWspVUznmQObYbR
mZb/4mN6ux9/9sUXF8q7CwOIjY09nOeY3sBtvOgw7rJzWgTv0HpxEF0MbnH8+acmgAE/PWvEb/3u
JRXmf0qvxtxRjwyGS05V9qUujp0nUFv70b1cPRgrpWsEhae49pXkXveBuNUvPzWX2oGuHS9JsPTu
rvTi7a/e3t9e5O9Ll49PTtJOshLypVMuxEUuuR10sn2peG621f2H0j3I7nL8Kj/TnLV3y3Fyp1+c
XoKb8NNP6MPffZQ6M26chVrCH/3VX1Y0hq5zzP1r52SeadvB/6RuQrdkYrtpt/XW9qRfnNC/egvW
h3tPmgdJL6e6P0nHyp19JpvpF2Oj+NZxeJ13dVCcWVtpK33FS+3N2+wi8tPXXzwn4iV+8mhaH56T
bNTQ6pQ8mu1m3jQu6gJR1e0z73bcz/t9IoqWU1+4D/IGtfmm3lqX8Lr9IUAz6saf81+clG/S1h/e
z59fd+PDR2JLDrsh4qZOTaBvTYAN/rxZN+sZMCb3JdpjpPLsPdAEtzqbPesusKkOyqDfZpubxBdF
wh/Fwf93HTWsEXri7yPeH4D4+6J+bZOn/Metvfi5b0JqKLBs2Q2w4QbjWLFk/66DVMzfFJm4Hxvr
0l8psBqrebby6CcdfvB39eQ3ITVRuQp4EdiLYs+OOPvfbO1pYP/ydDPfRITJihjlJ+m8tuN8eLqt
uEE3LTXL+ayhwd8ouFKs89rS6vCrzMrYADLXy33FOimRrRUseIaoxw2JWQiQemfXoRpPvl2GFOPK
aC2uZqovkdxhtnXCp1bJbtDNFZdLhvGuWU11oxlIqtAjdOeVaX6Na3DLGfsfVymF+28YQFB0SRv0
+DrdsVCMs3Xoir1U5j1fvSwrF29miuWlJK2c8AVoLg3PWWr22dExk9InKmLZtIZTs9JjKpkXkJYL
R0FnlSsODpXlkBnJmV314ZFdHd4kyclc0BNs6G3VxLqRGctmdqyYoSOS0EabMzIxrNpvZuRYjc1o
TtalT7mpXNTmXB4I7rhVTPZSYaFDT0vM2oucRTq1qfkylQyQG0j8W4zHX9c0/WxNCYR/fVQKppcw
QWrSPe7aog99mKTcPlq1H+L0tY9W9ZPaxozj877ajGbe+FaXIylcqhjXhVM6x1GCP25OsnTQ61k+
M1hnb5NYRSTUYj9qUerYrN9vCiVHq7bcQpkt2azjdZbt6soyMSQ5YQvUg9wiP65gna2ZsGTJ6Azm
JZPOlJiNnLW0scGYD8xVKGsZ3uBF6bdRIS1x7q5ta7YXMX+7EYZdcr4w8kWZFhEQQrPEv4QazJEA
Z+DSllAhoe7a1/2i3kps5ZI9lun10I6lc5GMC3PgarUJakHHpIUXTlhhzEow8Y6Kk52pleMzpFxv
dFzrs//2pf3v9JL5qv/z6YWJun8LJOz6px9PMPGz304wrCACMKGROcV+D8vFnycYud3IjbBrIj1C
rS22ft+U3DZnGymjqILIl+KYofr6doJZhHrYELZVkyCrfw1eeluc/XkfMnpBJs5Byb9p8g5MIUJ/
X8c5hbUyczfGi3xk5RIiGq3kQz4r+qFcAbR6qVncLWmkutYsndklwNzUKOAgpTz46JVdpU9v56g/
ZvZ8M8rz2RIiq6xxbLnAyKDKJevBSfr7iebEKrS9kZiulocVBIzuAsg7WJnB9Oai2ScrSUwF625Q
UOieLWfetpr2lb0oK/U3R0KSsbZluBi0mQT6wWbZlKY2RCB5cEH6fFrMkKFQri+Bg5bKl9v6VjcR
NTBzVEFARJ5Wr8w/yF/QI0yPbRk+5I7iI5tAK9t1vpFMzybOvjRk5WQo1kuTWok3msmjCRgQq7MJ
agO5YZNYxF+oj2akb22rxlk9aSA3Won1FAscczT8sbJ33YxUd+FLBzVyfl6q8LlAIyGLM8gACZ7I
ToKOOdtm2bxHY1RulHlqgVtLlWtH9ZdIJkhhVsrHmvPPRXuq+bD3X81QXU9dtjwltcHg3UjY9hic
InFkBlJpK9dqZ7W+Dr2VlZGOHgio0XaasqNiNOMn2xlbRKpVC5g/Hb1VtxJWTFa1yRdN9nJWz4Ed
xzKH5Mq0CDHO+SLbM3fM2G7sKqn9MJcWr+dpdtsuiwMGyTDlZBQopdwlx0SumKI4U3+jGuN6P61j
7FeyUHLhrDtfzMLarFOWfaraUSXTzDIfx64orrtWaS5jU032NiyBM7TzxFUteXWAmoilUtL19Ax4
RC2goQRVtWS7uARVhc+znUg2lDup2ZeqfJWR1xXE8VTfgelA9B9yKX2W4KB81e18CArhukFmNwQZ
RpylUIGxC2/OKFw6XUsFiG2nh/wzs+1ssPN02Hq4jB1PaoZTKxw/ofD+WEzj3UH4gZCW4zbFIqQL
r1BDdlZqCfcQNiJos5GbCWdRKTxGpnAbrXqm+JVwIFnCi1S92ZLILLN+9ynhWKqEdykTLiYHZu3e
hPyGxROPk2TjduqwPc3C/wTS1Bf6iN+n1v8d5jJV/j8f5v+T10lJX/NnFMEf/Dx+6tsxju+e8SHx
S4hI31BC745x+EPggvgPPpi/GnKA5IF3xZCjIXMiK4AW8dsxbv+mCZmB0HtQNgrR6b9x9P0A7YaY
h1yBN0iyOL57UzSj79rxqLWmNNXs/EJSmk9RAnluHfJnZTH2uVKUbmry9LRDYLEblEe+hVp05izN
abKRU4QTx2+BwQSCm+S11qBuIkPe4ES5mZJRDWyrGrwxWs5kSi1ToppNlP4+sdXay5X8LDaa3Bsl
EGBZ94TQHVqEon9h+dt5tVTgqDfm42yPX4DoNZ6dYY+TCTwylxGF1lKuAUE9ObgyTNYALHvPGpzB
0xcZVzGy9k1ZLZfqAgtNjfLjMBvID6L+URNmHMiiXyrZPHC7iQoTk0Y0duBjkGsa8YoF3XIuV0d5
GEP8QaktsC8xEWy51fNfzZRkmKhGdFZE7HnDvRb1m8XCgN4IqZY6zfdrHJ33Vnmsw/oY8zuh88Dn
U6jq9ZRk/hix+M1K9TxU1NuQfDXcgRR9qInIIuhGqCwZoD0ivXaFtiQewYMPttFKmIWWaIg8Y2yS
6KZX0/ozQN37ZdWnI1rFi1ojVhAHNdTspv08R1BTy2xb1JPJPWbAPphwSg5aqMKwsc/jSL3Xmo4j
PZku0KuYQZYNq68a2GlWB7Vb1Do0+NVwrUnxF4OLd8tGzlNA8h5RDPTzE9zijV6bT92iVVuUj1sA
QhFy0qmo7h0lLm8Y+dXZaxKtX6Y5vl41GdPiULOiz9rYtmlS0lPI872X+1Lezb2KJ6wNnQsd5/hh
cUImhSy0J8vc9RjlXTmWWeLoznLS0hV3QVIV0xbs+QPAEd9Kivhcm6tXUKjqTq4ioUci0mf9fV72
3zlnMPj953Pu0/D8N8Wq+JlvpxzFKigrrMtUnL+7BL+32/xPJrorFGqkqPx+lH0rVkndxU4iCJ40
wW8V6btTzhF8ERT3v7PU/pXtUBPH9rthkihWLRRgJqQSYKYI5j7MufOebnquZvkCWP1j6JRgsjJN
OqroZck3U+orA5XVbih15yQ8+ZsKnwjLbf3QVjRwUzk3bkLkwVnbcjzoNjzPbjK34zTc5PZcn7er
5MHuJTbKflFIsPTVYtppJp6aleQghwShxMKQSLriduhIXCudpfCsSb+byB3Sk7i8baJowOZcv5iI
NqqhvmsVvcaWpCWuSX5RLoKMKhFpBF5rN4uQo2it4vJK1uwtmW/6paSZx9CcAD5OcugVk8QaVBGC
r7yBxNg/WUP0Ehb2tFGXUg4iWr89ZG3RKEvXuG7ySwFdxm6EdRDRFQruxbL8MDF1L5JWtEohpLRZ
b4PW0b50iXnF4X2ye3BhdZw9Jqp2S1xM7Uup+lpnRKVwct7RZQZJ0+0HGPh4pZRd2DhfSLXhVolj
lKrzFVkEQk34qSijY7o6t0paW66x9pXbqvJtbaWUa/wRehALHnSikmWy8bQMHZ4Bq3u0AaGRz4np
rTFMf9LlSzvXFSTvyVUCNsWVCkR2h2VBer6U9VfK+oNslicbfvq4VNFeS7vrQRAiZkNmmNgWnWcx
i0jNHMlJnfvWms3QOqSBxTLRLa0LSb7LdnbVFkFSdvaFo9bLNiebFnZCusdd7TBMaF/VBqg1sK3o
SiJAik7GICtqzE7Non7NK2MxOZsq2ces5JzyuGV/WSLDg0Ef+QgZMpIBiGmLsuoixhDqybl9gbex
92BRUV8vFS4CzJOdUh2GVj3VKJG9AWuj2yd66yoDNlHFQPwzjxDwlOGzWcf3GYe71w7I8CA7+GB2
+NwiPty8BIpjd+u9lSygcKtnrrTtAAv4oJfSlWLXX/UYiWw8b4eGBqbMzNaT+1bbMxrBVF4c5t5A
w6RdLEp2oWvD7DkiU5YolQd5Cu+MQup25CViEZCsOwzr6JwV9SzEpO9KNg1W0zAQGWT5ulj6gzwl
2yZLr5MkCswh/4Rl4Nlw2opBkIIYqBtPNjAVH88jUYhyeW5QEkBNkQ7AtJjICoT54CyZX0bWmdwo
LzYuBSJ+lgfQOdTqCgvlboWf0wMoE5LeDOKaN5byacrhdfNZQ/WqQ680k8atVAA3ZX3ukMRo2tUm
jbWOSVX40ssTlBYqHimf4LlbVeVl6YBGOIP/7iBALxfjSz8Z51Ojzm5BmkgTtqqX1AUBT6qK4rL7
bKfQuIghU7L1XkGvzvtjrIPRzJmc81Z41XjDfrSOE2JKYATNTNewytedo31eeqe+iHQBt52l+QCB
XNpzE7aAg5OzMWtu6Flf4zq7ts3SwFGMM9bVtbDbhxb/yspcaVdYeoBNZfBTTcr3RQHJRFZLF86T
iUyzW2lRSaNifcqiw85HjHnWRVp1OW+vyn3s0Ogvo/kKvp3shob8QnbQH2vJ/+5Z4R7753uWeLOn
8bV96v6mpeAHv1+29A0ip55BrwanRkxe3qG8HExa6MEVgsoNUc1/u2zt35iGO45MhBAJSH9pKazf
6EyYJtGgiIG4/O9YXh82fFy2Nmxvx+SVZLJomBD9taUoIyK089FGV08K3g429jaOqGhbbToO1rhA
slC7s3kg9VKTV23rzMMlsjECoMriuSUM0+84NnC5G4Gj4TKIJlNzUz1uvCHGJpBKk+rHYB1dqxGm
mGkuLhvYp7GBoYghBQspeT2SY3HWGjqHtUN8gRRvm6V+CGE0efgmztd2oRitsnGHKPQQFQADMx2+
mJ2QcKpb56aq30UGHX6f2FcOgep+2SZXvdw+qQbRjbYR3Y8FZuOJWCmCVLDNZuN6bpbWwxySt8FQ
79HJqwcTgZ2TKWeTld9KRnHe27C0iVa4K9tQxpxDRE6ISHXVr+F5bZRI+qSi042aaNPLDeq7tia3
u3okWfykxZyUsTFvx5mChIfiiUubNekMLlOy+gB/UEwKYs7Z0c4ovMNmwRpbDnA6x0XAlS5acN8I
7gksj5loz9PAuTeiIsakv2WstEnN5nrOMKwYGN09SV0vtdB8Ufv6NhuWDfkAhatF5eWsm5slLvaJ
WpArbXWX5mDdxU2IwlBfHs2EFiiZjBpsLHyDvEwgsSVLB2zd2vbtesXxZm0I6D7MSv4arwVxDT2S
47hFGpWroQfU+QLRg4rD0NrNdnTTnPR4b+IpJ5rpaC4MFlVbppwCVqY3RCn0axr0Wj9u28F+hPpF
E9mU3GxVsqV/Ld2sqF4yy6z8tKeLUBsFgwJBCXLECnnZJQuwk6JIn9tWe0XY/zpVcrSLGv0kQibm
EZntIo9FkC65fq9Bg/UJKWOkGQpaZnMoDHOfGwrJLfGmtaNsg7+dsdbMCkONzGVrv/U7pTH0wTQK
YNn0xVmzqfVQ16ee3DbbtcEeZfUN3rqGvYde7xyT1PFKxWeGghxkm27vVCnC6tLOT8TN3DIq8xl+
BTIaZzpJ0q4U56HSRs2Lm368aXSlCRInmoPMGuDuEKngKeugBD24CFcz8mtnJDZPDQn/TOJ96Zhn
4dhR+WVopVld8L2wGHnZKVspTXirmP3KGyJ3c08mt+K4qIS8SvGLFk36VR8W17ag1OIqa/c1iHo3
7ifQaOsQdBjh8W6uF1XFNwX648wssr4MLeMsLmSKYRnZhJnyAZbm575XDl11leg6Zr3WvrTtItzP
ZnWaQ4a7Yw+DQK2+6B1E42ZJn7jWaqTGXeZLs5T5YExTdzIa/HoNRVS8Sltt8dL1sxppX8b2LE0R
fE9BQqgtyH4eg7EIn5aV2Ax1ac7DNVOYtUk3c63vSgUk2tLE91KUvWYDXxm1rHi2hZ/BYdiB8sdl
bcWYMc9vCSP76owVCLuZ507LrS0AuSjQQRWjmloJaY6a8kxSZ+NcKYtbKSma0zwS7kP8VhpYzhpi
ghglbwjDCn4gsq54Gs/HNrPdzsIHlzvJTdzyNBs6YJQ2T2NmrvzFifxBDbKsV1VYm5CTwJx3xYhu
YpGutaYdfJlXcuO1CQmkhVQHpiHcjIBA/arp9R1jWopD2KgkZDERaK4w7x7zqruRQxnzalJh2xoP
oW2ogbaucwJ/o21Thu5K+5g5UNoDE45v6nVDehyGEd5Pz7Je3SRTWEJ/SjqmxVGs/66G+a8mEGl+
/1wT3Ax9/9r+WBCIn/peEEANYxCoaowLxaXPFul7QaD85uisaagSvm2RvhUEIv8dChAiXTJNqRbo
if+cMbIyN2WZALM/aoV/MWPk/P2x+9YxQmKSV2WD1E7e3/sZ46iWat9IznJhAMTZoHEuOR1kJm6Z
ZofN0ZbT2XCb0ZAkzwipuif6arkwtlT4NNqi5U5i2TibRRs+ptSqA00hyzEWD4vWbVSlRxgjGngO
7PpK1XHFmrgXj8USGeBzq0dHlKgStWoJPsMlReiqSDA4g8/KcdWO2IOocUF0jl4pyt6opgBOqml1
IfyIEVlUAq1VrxgZ5PuxmAbohkYgi2JaEmW1IQpsiNmlTdYHZXdC/a0r9utEPV5Rl9eiQG9lU9qn
omiPnDz3VlHIy4P5WWUs6IgSP6TW1215ghY4+J1oA0L6AZY5iMBpEJjoXcl0DAXDAYcOAtT7Z1nC
wyVai2SdVAIZ0jPdWGgW6D/W2v5C5FPmwR1neqqOR2aUlcdx2pCDgm4mNsFR09FkorUx6HEIOQgs
qTkHu/SYigNEqBG8RDRGZAk9rwn5ZQkOjsmur6l7uA8A1NiXnWZLyxbiMzRBegMvlPHyNIR/2ArT
AsJAiG7aEKuwJZbkOCgOVvr1dbXtJDCs8VjOBonQrcWJ14H0KYdOTD3w6LXUSjsnwis/iVCSAaSi
SCnhhgxGkVvSLa8hxh2ABL2nEmxCDObXwYoq3xKZJ71IP1FEDopNIErY0nNbGA/Jbq6vYkJTbJGe
QqAZ626RqNLqZKuUhKyMan+fEroyyIVMlVVPrp3DTSHyCM61FxPUMhDYMpNOSZS64/YF6V0i02UU
6S62yHmxO8LC8ZCCehIpMBYlUFCJZJhKOBISERZDaEz2lh5DjEw42fgBRbJMT8SMLLJmekJnLJE+
081SQi0crruQGGCfDADcc5EOCUcdZFdW1tqfRZpN1Ec3VkgYClB7dacSedOHQE2gtrEOnYmmSxrh
3tH1Yy5NV6YSfyqRR1I7FnZgdOZZYao7kITEr0TOxVyy0Mwl1fCsGEgnmhIXdyucI5KKhdniopql
fVv1rbtM2QtxMgT9ac/1AixBH0B6R8Urh9SJvLACy5h9GoE0BPDrWhyJ5cjuoLvUau1LquNJ6up4
p+XL85QydlPLG2IwUq8w1k9508tuJxnRxjbSdFNHLPP6ED5A1VypESKINM1e0xXwAlS/7TpMGLRy
yXQpQGhTo+SmiiNAVlGSB1KdPZRT9aC08eKao/7UyulnSKVIX3p8VjVXqODWnMMNvYdCfMRsfrCd
QiZUxgAaXB9Ctqi4MVlkYFPCxSp96ptla6XVGXOg3J3wOrBDtR77FTNYFmnObqwtx+9IP9xNCg8e
oCb9Qs0qW/Ibsvu+vN0G/12LMm3jP1+L/1M8fan+5loUP/X9Wnzbr+kqnLlv9Op31yL7ON1k+yX/
laVp/2ZxcWg0z28iifdB4PZvKmA92uQ/dBfWv9m8Ae384VYUOjMSmGmFyNHSP8ykq9pYUT2F3YWc
a7cZ5ZfaGUc0j1fZTKU+iQotkskaUPRduiypX4gqLhT1XD8PIbR11DvWwmVEvuS1rK+rF9eWArO5
54uwKrSroiB2+LdKq4pJpqiVvRORH8ExfdOK+nItK9tVqvlcaqg9ixKiG5t3yZNmI/QtUaPmI5k4
bT81J5kC1jLhUVjjWp6l6pvzkUV4FLL1UUXp28HBtEU1bMZxxKipvI1LG2SbKJnltts31NCh3UdB
lym0UHrxSlTxPTGvkkjg2VVU4EyacSQ1oNVEcb4a0TPzipTx7oDQggq+bPcpBDRR1cdPreb1TrSr
qjDyp3EgG0W0AajywTvncwYZroNdRbcwrWwe5779MtBHKD2HuiPzC0G02Hf0GosEtWEpA2k9G2hD
Zt3+bNCWVKI/cRYDwAUtSxu1l4noYfTRJrB9Vi6YhYr+ZgBohacNOxu+2ijq9pboh8CxXKuiQ3Jo
lTjarrrSJrtRdFGJEisbVXRWnTXSY0EiC+qwQuMsOrAwmwBwy/YZSRz7ZUh0AHMxuSclvXlHEyw6
uUYjbfoNbmg60P9Msh+DSPR+US9rXkg7GEmCbJ3U20ZOD11m3erO+qSILrJYMhdhIWSK2PErMQiu
sVhDu6l3kzyqnkkrqin8LivNqaMVqZeFSilf1npf3lCs8cJtx4ayulj19oUaqUJRJl3ygD85VcLc
PgXtEmfKY9uM5y3xtb5k6+SxT9orI4dXpIrLputxBzedHe5IlH0GmoYDkbfiZRDJaCKGGwP787Gw
5cOYpp/q1TmCIQMqWsWwhKSzZlm4OmSmAH0UKi6EQBjlXXfq05Wvz3gbR+FzE1v2juiMmXFRcROu
6P9ndXhoNGufNT02WqM6gDbN2cyaxcbuyr0ZGXdI/+LD2IuMknS94d+czqhKRyIwqoqAK4bfb/Gt
Y0sOr8KGYaPN9JmyGZq+EuoPYAqZQK3MtbuuLA+dyjx8lizLjRdGynmX9946d9VjJJOmUsZxe5lC
8YSE1/hzuShAImCGk3LBhY5Da0zp6lTgkkRdlkGYp7TUSUZEztKr+45sC7dKzRiWz7CXV1veN3a8
txSYIibvxW1MjYgt8S21i+6yS/vVrZpyp/fkiEnklFR0pylpDuSHSUADDb33SHeFQw25xUcNSAWl
kM/L/yHpxmWKsKrqxjtlTo9GOxwqDTOH3t6MFhOktSu2sQSmsSzIdisz5QTG/S4RizOGeJeFPlxl
ZNjZ2XwO9uixCxEXZSM7nqJK7030PPos75auuyVbRnabAXsVGRQaUXbzWdY1gSW31aZYmHap7Xwe
ttoVctQ8AM0UWGp9UIehdJdu+Kob4ecEij8x5ydS2S8RYVH4jt1zCL7KHbL1MY9ZeOuNbQdE0H7u
CotoSgYkbq/Wt1WsH2eproIx56npQzYJ99qQQqbXzZIhpeiGEWweHNEf/3eFy4JpqzJ+/ucr/Py1
fXml2vmonhE/9f4KB3BmvNPBvLvCVZ0wCwfK2h/M2m+drcVeWUFuQw49YfRvpNtvna35G7e3Zgl1
Dfh6Vtb/5g6H9PPxDge8xjAYg7WDJIzEy792tpqkTgqK5+xCkfW+BZSZ1CRJjYUuPdhVZk1BYRKk
gPIvba4UxsiDWuxZNO4wMMhhui1LMfIhkbm370k1JvY9GW9Zv7VHeQaj9BhGKdDEvsQmh3jHI031
Akk3pJe06He1anCbTMV1lS0Xs5SPLiS3pxDFkWe02bGW10vibmOGle39LJXb2qhgjtnIU+Tpiwl+
sdYq/gFtrXfRbGzGwSbGqXPgcqdfx6pVA9ow2Pto6YOa3uMujIpLwpGY9shLTzaXcmFX4dVUpMyj
F3qryFxFrLG9G02hjskQvbHaRSYN7LNCO8egKMc2Ce7BMfR0V2tFHjh0fhzsoRkUTfw4cDb7pVFn
20hgX1cBoNdisJC0fhIlkQDUw32jKmreuPVomxd3FjB7pIcE7wjAfSdQ97KA3lPAzA+mAOFXAonf
CTg+2iPVixSA+ej8Do1A6McCpl8KrL7ZWD3x5qD24zfqPgRdEMWQ+EOB5EfBihcnboHVjAD7+zd2
fyow/qgrtaNdtywnCvqbiPdQNslBtySTiivrpGyjTpk7LuDNn5VG0/0BM7vVpOl5zPk5hIjxe1Tz
cUmtAxFiIxNuqacO7Kl5qRibttlrXnF7ddlZJcuRX1hIX+gGPcswztHpnHeSyoNUJL5R59dzXB5q
tf2kStlZOnEnN2pxq0XxFPSx/aLXzSUbvRMJSGim4t7KLgUPmFEfI+T0VBhxup4rhgzIm5SxTCCG
NZ1KKYM6PBSCfiZAxLOp2kGxRi/rPAHq5Lx2awEurgpmL4aAGetQjZlyg7zU5cybBfJYi+dgEAzk
YrmLhA5r6UvDJ9YuZUhRayKd7YQBofBtgVOWgJa4MoTlOeH/UyCXY9jL1kJccyaLu8VwcNwIRPMi
YM0y1GbLAN+ctQaC/TrrDjIDBzOZSSA1chVgQEe8Y6F+NmcIduFS3UwWs01nQTAflp3lNnglUD6x
hpV1vNCW9VqE0Ze8IrmFb5fXp3jOUim9HODq8QyogSIPljd0CwAMpaXKriZnY/Poy4oe+aXMvtsP
jR5voxRVKwGiUKqzQ9n11e1/98fb/SE05/98f7hiMvrj9SF+6Pv1gSyJ6AMHDyiieJWQoj8Hoyr/
E40X4CZLM9HXf9+U6vJvNH9o2sUS8w95/bfrw/kNab3IQOBGwlv6764PlrIfrw+6P1axNu+O7AZd
vL+/DEbruTPKKNYuulmXKQ7HPaGDcDRTTUMj0myY5+BpQ8JgvWkZIv2l1eyzXqgcDKF3ILVFZ60G
ppG9lVsiipBSuXXttR78GcHE3JJBrAsNRVUNz4tTfooRVyxFfs1ZuS0RXaiaet3A8kY0uCCGr1Fm
tEg0Sgw5MGisu06oN3KH62ZF0IGw/8GIYsTh1Tp75lxcGIg/lMkMnKY6WIhCMmPV9iucFg/EG1mN
SEeibA1UISWp4+thiowD1K9tvbTPNqITB/HJTAiEm6nsNDQcLYxui9IXo0cUW3iEka9MyFiAlehe
nMU7VShcarTqBF1qqF6o1xm4aqesaA65UMZMbfu1GWMMNUI1syKfSTiVvClqLlJjrA9z0ZOAntA1
WgVD4EwocBw5Ck/dmyrHGVZmNvr6lZkpZnvdelkTPtya4L8rlXx1N0biE/eyc55W+d5wJIpIoQOK
hSKoSwhYs6yJvxrLardlNOdh451c2iIIQSIMDU0/0Szg6nb6jERIjjRlu4r4tIZxFU04kWqaCFdL
RMyavOTpThPRa5IIYUtFHBvcTexeBLQZIqqtEKFtyrygvxRBbrqIdNNFuBv+JnXbV+B5SpLfuJGO
K0lwWansexENlxT211CExaUiNk4SAXKLiJKDoblsEZITLyeC5lgnLgGCF2fbixi6FIbY1hHRdEVE
SB3JM8k1Gk2b6Eoi7MgLS3eyiLVDAIBESdOkK/xfApTNb9qIILwE2cDGFuF46TLZGKsIzJMKTL1I
lJKDQcu1jdT4dlG7S0hXZUBM0YJkp36uBNAwiSFHLiKYr3Yo5cE7c9Sv4iNK1PLz1BnpXYmn2e1i
p9wtQ0k06kwsE8nPhKhilXDjmhoFDgmfcSsNO3tCSRpPOkMUa0i+ZCLXUU6tMBgxW+1kMJ+DkQcI
z+jSCrPmeofhrOla4dLU4i+AsAQPscg9c0zNq1VBFTNDuJuKjNDPVIFbqOanDEvQDqTh175cn3tl
jDd9rQws9/L2PFFmzdNm08/bxtyby0TQsWSNWzss9WvUifeJU/UQsfqB9OFYnZlAAhd8mXhXFiwI
YGFp7nakZ25BZ9zCAlYIq45IBRidAxsLM5imRXGdcSDhpGNAbzElIrcJ+VopHSSdlHJNuxtpD/+X
vfNYkttKt+6r3PjnYMCbwT9JIH1WlrcTRDkCB94fAE9/FyhRItnS7dBcEd0dzSDLZuKcz+y9tk+2
yl1eJwcnKa6YafqK4ly01gvl5LEv7eGJsconBdhpJP+JJEeNhHTZy1PPonLneR0xoA066ShVTzpf
La7i4zCYX+vUJeBhBm2Gq3o1eM7D7BKHJpIZaE+bfyDjQ0ae5/syma4tzwMILIgzWzwrRe6SniwI
vxqHGEPLUgkNWD9IJsv3RYuG3GkNazNNvIRanV/2SnSbjeGLWvbPlcnx4KrVwDagOQqpvY6pbTN4
gtE5tGW00XqNfBeDOx9J45BgrndmBA5ZO1wQff7Y24x9HMW88kY2EyVw+D3OKv5lp7IxTdkTVR25
aom6y9yh8Acz3CRqWV8K/EMMyRPEHaMXdGPz2YaASaxBoJvS7WciVXKLuIaRJUv3XpoO0FPrKQtz
ay9yhsvN/EbgVYPPZtzxQ2ebWFex4GtzkNkOdHNOGeII6IPJxiVtdTWU2k6p7d0E8JWAW7QAYiGR
5ieQmEyCRPbWud7OKYwzkL+tYtbbCComr6k/Zhp/tl5jVwi/Ff3XVjhXWS0JyyinfbekqpPS6xOx
ex3mocJdsLADp2PcZdc50GFNxHcZAe2xXeycJbG9J7o9A2La6zbxmiH1VE68O3yxk8iwO7bjqgUG
xJT0M1xWRdxjbI1aUi5d5mpp5kd2cUO52Kz/rY2+1UZLcsrf10ZLJmTxn7XR8kF/1EbkSZEEaTnu
b8GP/NUfrbXxRdUNGlqeOFbES1bk99Z6cZ+Q+6SyiKQQYnb+59IYFZm2hDjS+SO0tvirf7I01hC4
/SLZxljI3lo3l++CT/hzbYT2hTBnBf0IgO+H2mB4lrHjW7iFFEgzQ7va3mqMH61J8eEsP5CpSwRp
PwID8Oy7xDUvjLLb50myrgc3bAPHyQtvLRaTV7bYvUp8X5HCRLmTIvIYGSfKmw4DGJGUZgzxEd5c
TsRuoYaYmEFtA30W65yF17VaVAZJ1fatTHHHuMN06VkZ5UZhBFWMVroey7tpUh6YgN0bEIVXqk7n
qzYkZCjTZSzcA6FrtJKkU6NHtVLaiShRb6pEv/Jc5UEf2gKBG6KOsEsvhqpJEYgUXyeCalYx7D7m
Z1GgN7C7iTa4RLX9WmfJGFiD0QcYlT9gBc9Bp4Jr9kZ3Hamd9KuSmTMqKIdll2JOezkSahLL6Kj1
zqWBr6PX4uNMN6NqyIWGPK5WSECOzVA9xqr3rJhwoN2MwRsrYiTKD6mYZ0a9831HFuXQa9VZC5l1
VOVXXdUCEOk3HlnWEOPyUxXley2fHtKWcMByQIVt4eNRJjZ2IGAQRw/DSlHSDvlMuqtbpfKN2PaV
icjukMPPt6rYJXaTVJJ5qlMfKRAcYpYMnce0vEyglObqpKyBSs4o8SrStVXnHcz2oTC0aduFnMXt
qLEb1/fg83d931yGGQ5sg7jui7hu6orFL+vALU0iFxh73r3RsXttrQtafDRvJRMDQr6prMK3FAh8
mo0KjpqRrOfxNbKpIPmcZE4uoWAUejImsDA2lFeVuB0ffCEp2anha633yejGvXD5xa45D/uN3sf2
KZMGS+miuWWuYZ71Li+Pmh4NePW9JJibfknRxYFlZya7GIfoxlzbEqreoWKr7XMv3C3X1B6s6AND
tJ3a6w9yIEwDCq0aAOfTzkalJ6eqYAMSeTYmR4tRSDgk3OFjYtLaK0sMmqaeq9HQrwUEzZ1IB1Li
AUDK6JCn7MnHWn9FOWoFzF3FpWPo0meCs5lcBNcdETxUYZlvyeJtaoFVDuKpjNg5e126jmJez4QA
xkuaH+qu/L8geJYz4E8PsmupKsM8C0MH7hEmcL/aOipjHNJM8bTLLL9PzQ/MXjLf/3BuXv32yf4P
fvDyJZCw2oaJllVT9aW7/LFFm6pobBNsEJdp+9anV1N1V3j/Kpt+80EuZ/rf31HHz+avrqgfhM4a
g1wAgjh2HPe3bvvPK4omfXE/Mhz+5h3iZfl+RVlflrcCCGP1m3VyufO+t+/mF4bC7OOYi9nIkYDQ
/YMryvmPG4rAXobLy+SXUQK34c9vDUerIs7LGcgvZSwrDcGo0SWUIHBq09s6g/vKrFJu2HvGa404
MKwKeev2k4dfTU+eha714WUclsSZmaKtcgDhCQOsSrF6h4Vb08grGDznykjFndJIHQIdET2bpJ1b
KBNx8mJk1nw9FVO0rWDmausIhT58fqKZRKCbM41G3bZoZhby894MlTwh3KJzsvaZzIyEcfOYzfo4
B0ZvE0u+0QsybQ55zr70NpqhUWxFHSb6uiujhl1gpAbCKQAGDqRRsY1NtrgP6rVcUr+HlLNFjvW8
VdmLPmDf7jUcPpM9r422hyU86d48rrOe1GAwJ6EyrwuzUlrCaWf7op/amEBTvbRvhW0vozSnStZ2
MbVbDXtRdwv5qvHWtllll6Nux/q2dvjzFLFMm6XpwQ2oI2IV4EKXzr7ONEP9t4z83arMyOnvH9Hg
M/ufM57+z/8sJTEJ/FlKGl+gGmAt0H4PLv2hlDSZmKH9oyn+3a38/Tk1GcCpKmc4RzdF4/Iwfn9O
Te2LwUOKLdm2DTAXbIT+wXP68yVhUarCAOKwwJzoIXJaFCI/nuBwkZM2mwv9qqCrUlNxcqLUN4b/
huLX3eUq+Ok24jBYtCG4L0DB/wckXyFegyFDKq84fdJ9F5GCuLbm/pALJtmlTuygIh1ap668hO51
qtPq3tGx6FUsxH32KB2zay0lYcbyAiABqm8Qa7NSrGpxWjdPsq2A6rgxcZ3LdCxus1usdq6vV9lV
qQpsX04hVm6tw5ZWBqAVDHaYvLjHmjrWYy7oF7h7Ak5bJkppsQntYUPx3QU9XuegxetWOcB74RB5
Zu+t+DGfYjMrKa6tWxTPN0o+nhXFOhMJQ5yZpNu0XW/feMNZhnkEJEFjReRmKzUahoBMrHjVD921
pcwbafaPnosxLnJeonwisR11YQo0OsgmMNdNeLSdXGzwvO9s8DjbFiy9bzTNPWztnXDNyM/i+Mg0
9q2QRPIN0IUCe8AbnZUjnsN+GfGgvN5o3fyi5cQLzmZyabqQJwDBo8Q2gnqJoXG0+6aNLkpiMUAe
TzdO3W/BpbC4ol7p0NTzjeK3jLqCSaNu3SpTlfl5R86G4714HZJ7Ywz6GgxH25vpird2gLgWQjlp
54jtv7oT5gfVti6Uobf2CGZQQyMu1JzprMueXQ4qQBlrhGxr2VXNAb4hanE75+ZFFIURmzZz6w38
bmPJJkKxrSGoSASCsbJj4HtTFvNERFv7IGzEEFGLb9HosttW9ntSk4agMdR3IIuEHMjpIRPC2o7G
fKmPqBnaOBnIuWw+tEz/0GWmL9u7HSXrHrmT5qdSbpn3XuepG+Bos0+OMRe+nRXvRGM+xQ7cp9wu
7+yBzSNZ5+lO9saWIScVfLhhnOM1a95iKCxMyUU3xvUrtsKo2cxkb06+ZY/YEtUxJcpp0puo3Zmy
BufkyI3msjzS6mY8ZJnFen8iiDFE6G4aH1L19sLS4LzjeyA/shoeUstYJkxSU4lCENR6/aiJIE30
vVGZO2y3525xdbj1a2iLGy1VPl0yNlc1iSgl70ZmigPAmbZDziGDUhJBruQW01E5nMgiLQOFAaMl
UsY57SCYl0Xy2U6cdj1G1UUk1NBvq3GHBGYVm+2pSjDyd+1Oym5JKGEt5iX+kKhXSVNepDaPrFGk
V+ia0Fwq+zljGBxHcUxyzcTYfhAftpxychITMgJ77Sbu7O1Ydp/pHLH0YztY2NWTbNZorvYx6+C0
U3bg0F/HRH2ZrYnNXza1qyl7yczbQbbMOvtDBccpU5oV3YRPgh4GU8/scAEYa2mYu0En21CLmSvP
1bA1wIpuVMBekA9Mol409pmlDEKlaQAFVKhci8uplM9NmTB1ncyHrlPdi0pJzPpu4b9ErtmEu1KH
c/XbTfu36OhfZHE8NCxqNMTnnEPw27SlfPvxuG7b1jDDyZ6u5OQ7K3MbHsbb8oLUz5XyWjyy5d0z
2VqFRxoLLIzb/0ZyXlYuPx/ifPml4Kc81EnR/aWoa8LeGhS7n68G57UK9x4AXG98UUiZ+uEi/Yu+
4q++Ds0whaOu2qaq/sKZ9DruLHaT85UmTvHYrrLs04v2sm//y9f5+fb77dfJ75M7EIg7MXa/UEpr
BNMW3b0KnP/Y2FAiWBSbj//3z2L+LGX8/Yv88MP88kX6WFVbHX7E1bBpH9jProed+uEGLkq5C9Jn
o9UNUvBVvtF392c3yFbn4UJsHtp1uL5ODnK1Qx1/6gL+YVBu+O/64f/+/vTll/nri4r3gE0fYyn8
kb98f1k/z1oxqdoVS61zeI2490J7jA40sphvgDMenrXt6J/rjdyRhJEfUUtfM+3fwPzwv30r/8p1
lzfw3xeS6+x/grJBsvsXhSQf+H0mCSyHqHpEsQbKnl+YZ9oXjZcQ6o0Ou5FC88+Gz/tCDWlCZdS/
5SkuftTvDd9iel3kORZNH6ZIitZ/UEiiHP7pfbQ4W/k8nEyqiQYSBNsv76M6CkdLIU/kUjXLB7lo
9gbEewqlL9GubXOlzIuyj8vyyTLxJTAWrInpUxxEeOxLW2UoDuQbEHY8c0arSAaxsDkEKLrwyRjE
bmaT1WQuCAymKGr8zuzLdR16+CkWLWKCKLFf1InG6MYHFDz3HsJFbpViY8+IUR1EjTyr0a5B5tiJ
8TGU9rJ0rG6bchG/K8LbaWr0XiCSHA31yN7tXKox2rhFR6k2ibaZLA0REiLLDDP+tKguS+SXuB+f
w04/dHbVHuPFnDNE2SaqbWKKJJo9lpFvNmy1HVlu+PdGWI5eOX7apf1JP54ErONwtCAI9UbjqdBL
9Ck9AddkW73qQ3zNOA/nRVK9e0V+mVpsbgxSQZTYLsuHMSG7gnN0m4In2FrwZtiubKKSLUSIU2+2
8k8Qk+txYdOUWbU1odU4jbyRxHnsAKW5q3ywonUq5zlIhGKve2W8dGJprAQEHAEJZ1iQOMx+viVB
lsyXAeYkkHNIGNwbdveSL0id2gCu00PZmRfcjqtOD/hCyE8ZW2hfVTfO7I64Er0TA6+vcx8v/Iwh
WZMkbfrlyIbKnLNxmwv8xbVIvH1VT/G1ker37FFQeC7yKd2NV3OUGs8zKdGELHlef9fbWXTusJoc
ZjWn442VdIeMay0ZF2v4KikySMwuMNiuUlU8LMZbVoKAyA0Fsx+mJpS9dsVsuOy4PpXyKkpCxtlI
lBhp3DkKeiOZoIvuaYwy+2D2Bb9iCHhhMj5WlvhwGOCGChEyhVZDaG6wDTlK/2rmLfZK03hW9OyF
8hoeU+RsJ89EBRQnO13FtuuQHjz2MxmFBtCS2d1MRRqMpEUVWXqyQ+dC64n4dafpNp+LryoymzUK
NHtlE8Xjk9FurQYleScF6MnS2fLF400Wd6dpUO5wc790XJc0CeRj9MqRpMOzaoT3Y5EcJ4know71
hyg34EM34V04Oke0O4iW9cjcGBV1a+p650I3n0NH3tv4aFZZhPFkVCipHaG+taZ3IxuCBapmo4eL
qt0ZLqVm3hgTP0sOXqRptb3tAjN33UOEnry3yclRrLdo6h6WdiUqLJQDFrP+eWc0+apSEQCn7fRk
9a67TSJCpVPBOoxjjrlsraC8WNab4TiADRTNU9PmB8MjksjQ97E6P/QFq3jQo4ZfG3JfoXDyecMi
SlCyGzb3b2jpWPOlxEjNtrvVSUpfs4tz1/iG2jVwRoRZ3rybTYzf2MWSPfMVf2xRHOtMrJcTl1NK
KxHQDVclIVorHf/Nph+m60hFa62p9U7lV8CZdG1M9kXSe+/M13hvOfY9qsgLw6wT3+jZNIMUBdy3
HHFNPEO6Um91r9hkToz1uoLB2iITAdmb7XL8ylrW4T/PO9tnGPXYz9EtKso3J2ebGOnuRTrE4TaK
FIWJV3bDyqRBIpFq/qQ7b7ogSUwrMuAWdrWeDKKyckEiNyfpJmWb2XRzeJvUM+FNjXZXiAHPoOaI
9ypWcAoOAxFOnBFCPDKuv2y8eJdb7teZEnjdYclHJqAi20Bk6IvWUrwVfXP+mKOHiS5mslNWnT2U
awidR8tt7rxFQtwsYuJ5Ll9Ie/ewwg8G+dfzUzggJnbQINudUvtz31yRUXuOUSkbqJVHVMvaIl82
iubAKG6dRma27jvrGrXyRe8peK8W8XOCCtpFDa0qDbqgRSCNG0ulku/vDLTTIgS8iZY6WUTVKew4
vpv5yVv01vX0kFvymmjTK94P/BJQZucotGcLEzDStGw1qHjaFhn3klVYoOvWbJRz6LxNdbwvmDmG
6L9tdOCVB33I5f+Mi0TcyWzaskU2Dv9XZ6GPlLxQkZtzxgZSVLsCtXmzyM6dvOXYsbFaLZJ0axGn
o1BHpl4l+3kRriup3BffpOyLqB1Rkr5HSiACb5G8l4v4PVWJfyf+WyOPmzHBIpH/tyr7TUFHhfL3
VdkG/UHxVyUZH/VHScbG16bwYR5HaIK6JCn8sSZWvzBMJx1axSpsuUsA1fcZvPOFPzsI3r6N775V
a99LMusLg0Lo2pbD6J7G5J/N4J2fh26UZN6ypsbIxQSeyt74pV1McwRGYxc653BsD1FXD8VFJ/WJ
YLJ8qKqFDd3PW1dCxs7jPBofSi8GJFh6BQqVLomfR6O9zeN6CmJg877s+i0Az4A+nMmEWuhQNzN7
VXrJG3p3wYNqifWkELlWzNYZESFYpkx5LlFhI5l7lH2ppdcdmrVb5Ew7T46MskOUEzzJkSqUcxoW
rsTqXCPPUqLnqeriqzCMhX0VZ5NzZRUuwxZTYlhZgUDqysAKc7W4sx3F2IScU3LNMjPsLmuljcVD
z0U84BuSj6nuxcCO0nIn4iSZuIKbC5mYB9lbN1ZkTmg+igd1zu56E9VLGVfv+sI6seMetuws/GZJ
MNaMt7ggZ7JRzLPd6+BLxoc+FpZvUBAqgxIoOUdAtCA+zIrEU3fCq9QW4IQ0M36EKOEyJ0qBLli3
qSsvk6SygkkRH7rn3OW9+amabNDbnF+K5XbXDpHBPM94OCWff6UTiPwyGRH3pBQ7dWZGUy+jtjxz
75jo65uyABxWGEsobaLvYlCMxTA0QS7F3ojZy1o5usSicVB6gxhbk1qXcXBMBxag16He5z4mIHb7
pr5DL6/5uktSnTeN+h45N0PCXv1Q4V27YM99JbRI4nPaLYqBVxL4jrbnHFvDa3zhon4yZg+/LSIg
L243Y6h8WN68ydQRWnd1jhp0Yugfg6qZ7R1RNxBiw+prVzKZsQUy8F7J32XsjYBqiyfe0h056IOz
w7Cebnh7XZta3cGRK8+dxZbWnMOrzGOMGuEEimLtJqxwyffcqCt1bCwfRSPUMi7d2Cqf+kQHjRV1
h45XsGPFbNWx2I4WwnRbrcv1XBAdiVxhrK1Hre3O2BXukq7EPq62D3kU38RmLIJK7YmnXszqNsvr
IW5uJie8Q8B1PdeEGRIxWQWTJoGGCzEFWhNe9ViUpyxUoBwr702txMDaEfFPFpfUrHkZxB+IxpHV
Qj1WiSw0p/lQVlClppKQQNdCoNAXhp8PWYfgUJ4g0HxkmTiI3gXw2YoLOyFlFhD+cSoRbqn454F5
1tAozTwwteS1USu5mbzu0mvMp0GJVZ9HfVglU277cW98zaeebN6qvOnnyu+IQp/5zawcZ5xXZlEi
iUuHe13OxU4xeXeGS0nXZuIzm/SZy9F5sqR1y3Z43A9lytS50fe0iYT/ui4xtwhAbUxFvpqb5kbW
yaWIbGin6U2eDWdk9wpD38WXmaRrkXuI7wuSNzP6CVlJJtPNOK3qwr6TGmhptVG/hrr5ohrZO5vv
fS0N7vmoo59Q9E+zVR7axPH8PM8fctnpa93rb6ep07bCzp/LyTxaSjlZuNBRl5gHxxztayNxKycQ
rUpec1y/GRKdgm7Bx1xsj71VX9jK2K3nlO5qmN8aQ3+uXc/YeWrBQsBzruZ+KAIX60BgNgg4YVIV
Ky+e3nFOsb5zutu4IHfWrdRsN6nltOqdFBN3bLxUtnnb5Z3ry9jFL9eHMmh6RshJBbGuECpBVtit
mOp+DjM70cKiskz0IRhCRAhEDniwYU3s3H3tofGgY0On+c5onViYFjiqGkrrLEbE/kNbE6Kq6IQH
6PWNLChgJhcmkjYP61QUI6+TwCtoTIHA6oCXIK4usFDspzx8Ie6ReBPFzNe6gyp0NHi3Vk3ybjsF
XViYzGurCDeRaUzknDb1vqzMTQpAiWRQO9u4Lo0f5+G8LZL6pXGtTdEoaOzCbUnJfh0rwsbdIjz8
aRIkYJd7G5w4JIfh+722AS1snFrb15FxShwB9SlP3C19Mn5WNON+OEzTgWyGjxQb5wYGonHQKwNA
UwVeJx2jYhcXxXw/y5zXRk7KxoJvtVIo7leRDtrF6oa9kYdM3zWXQGxrOEaZdwi9+aiIGZeFRn8T
pjCZcnLgYufWVRz7NLd0enEPTYr6/4pg+rtCZ/GQzlq2wSoqVn2sNKR+du/k6yIDJipjO7ossCYN
3jr2xZGw1fiqE+zbAOwFaSmGbVXNR6MLTxhgg7RmTAgDfG0kNaBMZhQr4TRnz0reXQBgWRsykHA8
2lRbsXAPW7gN3WkNFZux81yzX1Llg9anr2WqXGWNuE1xu/ooN+x10miwFc3qM5udr1GumpvOMNug
ESafEoVwIDP1uRJ0X0MvzqHXA6fS1CGQdRP6ZZgeC2JKd8mYRA91nGFaDZ+JrKd14dF1MpKk8u7Z
MhQgwd25+rYN6fL30NK9teaxmvDy7AGMALs+wa5DV5TrWYX6qWTiQoO5jmg+PWa4Sn2TO9VSBg4w
Tfsc3RYFZXhywynfIko6oFb2gjpVVolVPOZTcx4LkCf2lANUQLLDC3qoW+2IUulDqdyvcqR9tJmg
FLWyC9vkk+Xfpu3Lbts61bqt+FtZKg9qop7m6JgTVNv0Dqym9NXrk7e45fAdFBXtqbNHFL+8a9wI
wVFzmFtJ55by8uR06gmjn3Hm/UyGKG2xbn4acJ5XrEFvRRLxjznACQ45iQYpnAmCFwqaK7ZUbi9U
YHsxlpuaSoedlX2YrZLk+Upc2jUpOZ581Aw+eTXC+giTY8rUamvk3bsJ1S1yoH5WcJNUJ4cdVTyg
zUPYhgzBijUo+a4BsFXcN1LSjrYgghX8TRXZJIAh2KLa9U2PdILpnKWxFcy3KGvpS3XUBZrMV3QX
gEcAOW+wAzD7mVnwGQ0jiaHmR3OJFI6pO5G+CRD5xlI9NHvHiA9ySr7GmiU2kXRhXybbct62EFp1
d9tMRaCNJ1dJ7+JsYOVrmrnPGnybJAM2c4dCxpjfDECstozeXFucwL00lBxqzItVv+KERvGsy8Ti
Ih6aI4/PXbRYA+nfHjTwqFCxgIw0a3dnRNlOx4MwdGkQukZ1XXwzG6rEoQC7Mi1NeYyHslRxXxVt
c2DnJ3PmXpLM6E2ZDcp0PfHqFKollMAk+gMWHEkpgeulhxIz+GpMFZ42pdnOHgF0TalsFCepgiJV
5EYQu2KSeB6EA0BdV0PP4Q7QeaZIW2d6cm80xa00QcywzflaJ82jKRxCuim8lBD1GqbOfeyYr1Ux
Xo3Cs1axU6VEj3S5T93V+kREE3YgF4grgxGuE+x5uL6gAXGl8fotrx21ObxPZG3xqW6AbGeVGYyd
cx46cen1zmkJriBjO3nVvCmAwXHS5onqpqzeuFtwngDhSQv3vhUCwmyvfs7hUGznRIWeN7g7c+iv
4AvGFHkzkpcKx7pC5I4dFh+NzHeGHQMrUnFU1hBUzDq70cm7LTpQgFZeyh3n7smTrEkni8sOX8Ou
H3iiE50viKPfT82sXbUaa9sWuwn+j22lU+3C+3xJa+Gb8WVaEShhTSs5Gnurwe3guSTCkyzAiLK7
zK3kAw8NKxMNoOIkzmWkni2Q3FkxnE390mZUpwA6bRqFUDe1fExltO9i8dw53X3llawJCfl1m+1o
O0uCLz62/DzV+ouotB3BdpyMebSfJ2feJ332wjd4Hy+tvUMtuI67isiGXHkxoYQ+5jNyxbJOjmOc
wm4ckpKIhPlCDhNAO1t7qgaVvWV6LWXxmlYuFvm2453gPWdWeRJG/JhLZqD/NvTfGvolSOrvG/rb
1+J/AvEZ/UVPv3zgHz29/YWMKw4d9ilAPzV66u89PZI7eg4KPNr5byuYP3t6RD78c8ogB47oN+v0
H2sWfYmqMVhzMB9g1wIZ/B+sWdAG/bJmYf2DoMQlistExkdLwN//kEkgEii5cdYZFzzCeezjnemo
LTBlpIuWRlYMTofZwYlrqpU+EiczsRgplyKmiE6Y9p3XNEbh2xFoqNYviZNp2pXUWpbyCQNK5BtL
/FEOCPgQGUsmUt0Rj4RFj6QkrVWJY/GWAKU8NEIYeTa0DGxpiXYrHC8zCaies5ZVRWTLi8ZgFnuN
AWg72EX2GYLmD0omDpnfm26fbNXE1TZe7YrhBmhQtzfxZbC0mGMscaE69S+z6cCwdupYPeq9Fx6b
uk48eNAIKeLRq/2mJhWkVydxtLrJPIUhzj4YRKH32rcFqG6zDuW8BXQzc5bF/RWylYWE9eKk0XuC
kW6N9Cr3K9v6rDo2JV4JyWnIa/NDdgJXBkDtOmL6NqvWpkuV/kXakU2ulIopRKa9RpKUTICgdu6j
ptD2eakM30dhD7vWKBhNKyGp9Tj3dqnWOGf0NON+rqp6a1pDifZ55jlPyVO33Ap1SEMP5g3hBS8u
8h36gla2IZ1FfnR7TIZW2DgXk2XNe87GeCV0L4NeE2+dJV+iifR0ZUxu4pct81KHXULlep+uGStb
d5h3DIEuDWS62ykkpUchkhUwTWMu18WTGZthwAJoAAFmbUvGRThLR7+LG3lOyYPw1ThewNXWGDSW
Y60TpdIv1ShNbxVpGTeow4vPRDWbQ16L4jEZTMYAov4oWPD8lo3573J4cZD8/am1zT6Lv1ACLx/0
/cTStS/YPdD7OhhM9G/zxO8nFmFYnFYm/0Hmt0T9/XlisU1e5Nt/bIb/VBgawA9dnc/F/6CLQGry
j04s+9cTy1p8NCokRd11sarw6X46sVCqOvrYu96lnjc4wCzYbIRQlVFxbShFrK+tGHbDC5uW5poQ
q8I+5IMo/HnwTnbinZoCKzsYv7eU9chEiwOGLtpMpsk8vDKyERqeMe+L0ajX/eBdM1z7imdMwM2D
utPrWwVDV9QKJiz1VsXo5RZUxZWyU0T2ZjU4DBdaWZTI63TxiNldEzCl2hG9sFMZ0mGFlD4+QzT7
GMxQUp51+jah4zyTiweN42c3La60QtHeEmxqI1CcfeM6TxUGtrmR71RxF67XZNZilbSfF2cGtDbQ
Qlb52UxukC6OuGTxxqWLS25mpYOQicNn0HY1RjpE/AOjV7x1EBabdbX47VTD5aclKCxoy/mROecF
nPGcKQpevWZx7ekMMmMTT6zRR5tmcfZpTeSsE8x+LqY/NusDtEB8gBqGwBxjIJlfzCrKy3FxDCoQ
HDf54iLENb2Xi6/QE5jUNDRhgSrNAdcf/sNqcSIysct9vEqIvqbr3Er3LYhmrDjJx5QPLowCHI1N
GbISRkdlRNNrofcgiTTta6crBw07pOymU7L4I8PFKTl880wu7sly8VFOi6NyxFo5Y7HMlUI+8Xoe
O+tlzu0LhOE+qFmseQnhBeGtXLyajUyTNkA6VXP86kVP8Q1xMFpVGdAQgLAg9wHNRpazz1rXpE4d
4q0AwQeQPiKjgIsuPjhpOWzhPxF9yHtAXZsquCiSYbzbEJcimfWTNrK4LRliDtZkbrnozCzI+jHa
ariMUBsUjX5ysqyHdGK7O9Bd6tO/Rdy3Ik5DP/X3x+Guz3Ezf3ScfgVX67T/+P//73c/BR/3x4lI
Vil7F9AFCGZQNf1Qw+lknyL3sthIGCa6bFY2v+9lEFYvzDtLBYjwrfCjKPx9LwP1QFU13UTA/H2b
8w9quF+FMqZL/YYzAhsG6m84dz+fh12PI9UpLXnVqwdsUMl0U7bbH34pfyGg+024/bOqS8V0AcYH
MPcSX7X4M34oEzW2oXAg2+rKkMib25VptQgaY0MvjKtYBUC2yG/H9Houhe2e4zh2njgh9PQavsjk
x2o+6gTFVXA2y30djycRZmvbEOtZaIwxZwMqSXYVWkqQlcp+aj2stuVtp1JGTrG2nmvnZhTtLpyo
T+J83BSi0wLLrA9KRaSSm75lU/qqYIbvq2qPKfiJgoEhhIgvo65du3q2d+KWdNWx+cpEZltlQgYZ
J9ZW1GbvK0grV50ld/VAZ9w7yT1Es9pofX68p8hW96qH6tTQKig2xWfWejHyARMpSf4ZVtD83Lzq
iMkYsfC3zabK+lPYOUtk7LJCllRTlaO+jW1xwAKWM5Iv7gYtOoS6ft+MPN266B7TnHz2eJLvrW0e
JrMpNnVSXRTxSC5FjYPREqHlh2VzixcV5YQJwy6ajIs8QtzUtcZ1Jr2IO65/UhKD+D5nxLDoYJ3X
u6+JQ/SXi92M2rdEmG8eHdmY7M1rscrSOtnZKpQEJp6RPyY9MTKVjg5hcFM2T/Pj/7J3Ht2NG2kU
/UXwQUZhS4JJEqkcNziSWo1UyKEA/Pq5UE/b3W175njvzczCpkkxVH3hvfuMvGTnw7qn7LUbR2mI
Mkx5p3J/CfPJnrWays9U1cEnY/IkO2WQP5KdtVSwK92o7YXqexF174Srb/2eiVauzLU91syVZPEY
zoAmwlowJo+Ms0b0TdAN3m72nPcqWQx+U3Pee/a7aPM4EGnyVeQ0/ZEt5qDu/DtUUV/tRK31Ovkg
mFUxrE73MamyTIXEuoShNJjtm5GmJPzCKF6hxD9gPGSPMXTbRCySKguBrd12amNruo8Dtb9CCnA/
RD2ufNkdYitulo3bLQydOig9goOKEMEHhqHNwA1ILhBTc5HemtaSSxAzyPGHx0xnzpBM7tc09V8c
I/sET1lbC4zRijI+Oxa5bNZRmmDAdPT7aKpvC9upYPlZl5EkCyguY8WXdXwZUhJAKlUDiVe8H543
P2duiDyc+3tIiw8bHsh2aPT7LJJMV8CXjxrJhUPUMXXXvnaaeAbqgAogi9dkwbNLBSnkzwAN3BKz
kTVlh+pTWKzspg5xR7Jow6FQ3zkRRGbqCr7lgI3vMzKnDs48pleupe7q2uQOqj5yJHFJVkkSAKov
sLlYpjFaR1TBDiBTEIibJH207Q5HfSiZcz5gCh5BCE3pRY5JMtG0m6ZP/aXSkHRzYQ7JeCB6ANBz
GTR+Va5b6TgrBtHryKoQbVtHu3VIc2Lwr8FNqPhtLqD7U1t6T7FwPhJ9rFccazW7PGObywooynRO
OftKyvo5fRgpAv1z1NuQBWbrpimMDaTOm9KwDsrQbuAbBK4WPZgZ+FvhsI/Wz30VXdGIX015fJzb
bjuzlgNY94URE+ZYj2jnFvMltv11VkM2aBvARewmmmo4eV65aeoM4jWCOHa7it02w8VUaGyYtMup
ax7yxM82odl+tGAIzXp81NoPp+ebOLje1rLhhcBLUmQs+6GiiE37SdM2OnSrBy8axl1dk3eTRkQg
0PZ1FS2W9ZSXNnj9GZbfUERQu1POrVVW2tW0Avdr7bqpbNZCUpcJC3dx3W5hjj4pJR/aWntG+mZd
670zX3Hh1dtG1q+1aRzixvoyhuKynoERSh/kUs7s3WFTEST1INZaSnR0Puf+HSE40zHK49skit7Y
kWpLcyvPG8ZbFJsdevKC7ZjdAUY2+RRVfJckZRr4lnbWD+1Tb5QzyxEr34aLR6Di9UGi4O5Z+xln
ACmEbtD21XypdUK7c1MWTdPkq020hIctbGkAYm0f2J2X7/k1i6CWXWC7w7AfjE7tmKeXawv7+k4V
eky1B1g66tgzsjhw9oqk2T217BUZHTetHS8jtR1NKAWqFgLgZPM9u8YdpfZTY4y3kdO4B/w7TyVe
wAUmFp7+97VL8fCLlFrHNsHoCO+j8IiU+fnSdWVf4Yyq+6tSkANgXKbizuVVO3QL6f/Tlf9cRSyy
cjo9zL0GIyKPQdDSdf1wwbdtSSygatWVCDdh9lBP21j7P9Lw//cUyz//4SmUrKVUvVRXFT9MSLCr
eHixq9v//Z795ZP4NJoetZVhmr88SRuT1JsWSl1ZzV1dXowafMrD/36KP38svFU/PMViN/jh7+jY
O0WGPaorW9zm9XbOO6B9l4X3mk7/55kWjfPPVdfPz7S8kh+eScaDk7uEfFzVE3z8ggW7edbnjHs3
Q3424y7/33/Yn30ShsAd6NggvCwmk8vL+eHpgBGOc9MZig7oyegQ07l3UXw+5f/2Gt96BofG4O97
jbtevjYff+40lkd97zQYCVPI8+7jh8E8sSA/vs9elnBbRGGCdc0yEV6U998VYAtok7RFhGGMYARn
xe+dhoVBGxc2AxNU+xahjP8MFPKndAmeGD4Iqnz+d/mu/PLrisIa3GNe9qeZ0J/VmPQvzcQ2MMs6
YE6DDKZGPiI7TNYkaR8TcgUCx1AtKd7DVd6WB1bN2qoFOcxwsga3nxDZmh5ZfHA1ErFMXuEXTHnZ
GniFB/9Pcfsp81jOVP2h7kZAOavLYtQf1UyWQ2s/+TUCUYH3aht+5ovjf5R0+JtaxfGKuweoLlKg
pEofHFG8VFN5P8QoKMuO5IPQdR+aumPUUzx2vvYYFhB3XBAdVnIcsviiK5OXthRoDhBmNJbzzrUH
h5E/DC8Y00/TJBTQKJ8JiZ42dmoB/e0wi9VS7Znk3k9m1WyiTm1te+4CM7UUWjM0oJkmvtT8rgMh
3Yu2o5QuZtiKkbNxMnGDfuFL3fpXiYNSxawXysoSExQqdRLV8ITY6h2d8XNYm5dtWbzbtusDf2uo
uSCD7Vv2tlHlo0ujQUujF2l2w6aSogqQ6IPPr8p3ZfjHTJu6gGW3Qqa9cDZtpBLc4s2aa+Gia7Oz
2g4vikgGc4JqAWvaFp4KSRr+PjKdm2keviZ2+uHlzZ1FyGZozU95hMZB93iRfEi+3jgrpZDOmDph
X+ZYu9fu0B7RYX2VqV/ifNN3Jfk3677B8Zbr5qMdOTd2NzGhTrI7OzK/9gS0H6ZkebjT91vb6p9y
GGItajoEHe6273rqxb5Ld64rn0s7BftZ9SczdpDwZMCUagMdj25rK3fOtjoWdwy0+q7uMOVFWTWs
+opPDWobxkryLD+Veotwnkytdhe21XkSgrib8yzCMYLN31HzjScdqgZn29d2vUYrRm5vBnNT70a2
1nNLolPPN87xlAYqky/x1PIZ5mYVbVQz32LS5FkLsY3CYRvq/e0srDM0atbKM2WBWBtGHsp49Gx9
9t6V45Ogx+UErt50gw1iUYaMoha8q57s3ZqyqtTivV5oaaB5+Ch1vdy5gOkMPenXra75+y5W08oa
xAeJaxdiLAd29mm1afwO/vY0BSZao02Uj/dl7dCLojbh24hM0ere2t4nC3MReNhzNV/lEEjPbSSB
AcnOGOfkpwAyQwqJsK8ZNs2nQJK3AbGk2XkRtUriWFv3U04JsApppd1VyCwZWyK5NGjirmiDEGJO
dRJfWfUYPUNa27SSr9BqWSGcKmq/tHP7NW3PSneifez50W1c69o68p3xGpD9WRjVibUhEA5PBOI1
EuGF29aH3tNDoILJ+Ll1sWQekJq8xlhyXTKhYGibWuZTpnQ9OZL92XPOyNgIWM2+61Hfw2B3JyTd
qCOWPinMbIeIr8T0ojv9k+ZghkMUBsAhkEDVeu6GL5mTxPZRN1GZApob++pfG9u369Lmnvr76/K2
ey2SVrJc+/OVuTzy+5Vp6qwXXA8gtPk92Pj7lckmA28bomnBfO5z8fD7lSkgkjLKYovqwSr9XCJ8
F017vy0lsOtDUUBruoBM/8FwjrrppxqONa4Aj89LEAzoBAwdXvqPRZVGM5M1EKYv+8nFaZCalZOe
uGMX2EeXyyt2bkO3zqVzcpDT9As2eOEHN4CEBwPnVm7kFzWIYTmVZ7ItbgAcBN3CILbS8CiAEqPl
IQoVTHFkoWZD7XUR6+pxZjrwOWUvmYFgw3FLdK3z1sjpfeMZzDNzCMAlPSyoLj122KBHV9g424fC
eDMhQI+DwnimokEQTYMhJDmjLe6iXWZoaFyBHrrgoJDIuTSzusWxPFQHL/HyXe35Z66EFnxnMQaD
WJwr3MP+Z0xZsySWpUt2WQ+wyoRnBakalWh67n3GnEl/iTzzGgaBfiuadJ8VZGBs6obl8iYn0grb
tRrfelbVK8UAycNwy3ZRsZj0m12VuPiIWU57qgYPKaTaWn15xLNRr822Y5YRJ5t6Rikb+9amDId7
Uw8ftGY+YBy8GWi2C4xoNqqiQesuRuVc+oNLgVGRWiTNG5ADr5VWnsve07js+yNUBfajWrUXSGpW
jW/cDL12cA1zU4QkNkfVVxMjTa6pvZF0Z8rN9xRQF5FfnHJzPPVl86ZP7Y0fIy1K3fvMH1AWe/vQ
iC7deGhXtaxuZYWro0gCWek75bQ3TScCa1Tohe3H3CP+12ctJdozHHIclrllblL/a4G/yJYEWap+
o0qxY46HY689hkl75WfdMzqYwKM3rjRjU3jxaS7zS9xhK9+ZT0Vr79vRfJxVeUS7tQIQS4qzva5S
tfXj+JSG5am1iImABwk0+Cx1kNO4+ovppFuRdMeK+yMqBUGRfPSRx0CgwdkDSUu44wV2zm7V+/qp
5/Sc6vTUuOZ1PUEYm7V7J7YO1Ad8wj2Amiw/tIZYCVyFflh/+Da7mUI+eml8j4/ypou1bVg5F5hb
twjOT3pKspg7kf9pj28DLwLdmgFEyyBxcT5DWLZusLRFnrHVkvFcjfGhbAFjiKn5aDzzBuvQTTPh
cQujwbn2nAaRr4pPbmizJjcJ9JR6egCdiJKZQeoyUUEvunLG+hIGxYUy+Er1vn2QQ6sxNFBVULX+
lykaT/rItDG3LpiLXY81MJ+xYjwnpRdYdf2CV46vn+UGVRXuWPVNW80KX/CXHpU/xluR93eoADaW
ZhHjYDPJNrE8wTgrWCTm9uLbbMZFUogEPzaOoW3f2E2CwM0mLzQd+cSH1L9KK23XIt6uUAvtQfyQ
OdN66bYejWOX9rssjNYO0V+6avsN3w4+rSXKwu/bqzqMp3Vht+eUiSRyTe25zJNLO8wurFrbGdaC
3K9PlYnVTdX5e8XsZ2vOWrDMEQLKJt6szr12pDiU2OTgGKUWmRXQ5sMZKYCW9utSNykTYwcmclJd
5InEr9tp69wsnzoaGiAWEEa0fD71hnVEfPjFtWrIm8Lch1Xh0IBgdivS4QZ970Pnu2fEWO2F1sut
JIWcEE11pJOZVoPNCZBrjB38qugDsw7ZtyZVvWWgdlHWhqLsSS6zrL4fXIbUaBTuItfh+24kbGIJ
6xIZJDvemrhG7WA16b0PsH7tJ4ssxNHUBWlg8jwGRfPv3f/t7jcZZfz93X/6GF6/vP753l8e9cO9
z4IPogPIov9CxX+49wlGXIzqi1TB4wb//d6nieZGFwRJmEyIePgfrTLWdh3vOkAzOmiDwdE/uvZ/
HhJx7UNaIn2RThnKMjfnL6ObsIeT7YTJdJkUV9bkLcF5kyIZyb8fZ1Ot9MlEgWgWF2KWN0zo3+Df
aGtPmzEvxPCcJ0wEK6/zSRRCbaNbJZZZ981ndyB7/2Ge63vMBV971vG1hgmGHvVZVnmFWtVFsYVO
STfzixK3z3rAF4kJ3jopvY7X0tWXwJrsAfHRvLVKl2y2kNvRDMnnMZ2nTHoP0TS/aaEo1mHm79k9
3GdJd9X49ikR4Me4cW7zjLahHOE7DB361UVsq7XnhuAXPYJvzMeSvxkTuID6K/pDL+IttVa4qKy3
Raw9okdeQ+VYUaCdpIjw4uOFKTzkjqQDsO6DEZ0m9bYWktuOQRTDiC+ln1ySZuViiqqn25lFWjJg
0jWqlpjp0V05qcUYF27ZKqIr2via85zPmblxVeiRa6DLM4/uOqgRp5Fky3HrMXYWaggksSeBz5JE
KH9my9ffuhNmiblxmA8McDCjpLFvfa+POh8TR4m0YHTbdr43lML0Ogj8LYGDi3fJ/eoGNOQTHkzI
UZG0g7DEtVCTSylcDBLttNPlCN59wBzfoiJIIxhvuj2svRnYTegY97ZXDWti4z+q1DlKvfVJ5J3R
roEpclu+OHHY33dF8ZLIjyZ0aNUpER27Jb+qPx8bL8XfWwCL0bVNnFWYxT1IADoS8GyyzknueJxs
BDEVa87cmV5rw6nvMbbdRLl9Y4B/xiZz6M1xN6ZpuE+c0IJyHO4LkHHrqLbOpz6DcK1V3mHSJiLu
c/GgDY0gzUPbKt9EUo9Gg7yklQjVYfadbKWXFV1kVAQ+JdV6qKtdkrBM1D0CU8yQ8oysX42RTNP0
D7OUj9IxvyLaZt6T1k+6KC+KMLufvPg5ypsrRK/JeuwEVeH81DZFzn8+3oc43dcS/V0xdmd5TxCR
mc5PAwoYnPSv3ZRsaATO/TQBpFw94wvrgtBSCJJ19L2yWXx6zX3cIniuekKVdS87z3DpVDO3fOc9
1wSSrJrePTbEuMyxvcP+/mhM2rjTp2md9/0LVpAbaLZbD5CPhRN9rHTM8u5sXqQCs2/tFshNhpNp
Rdus+JIBOu0HPIDtYl1JFq8KWpagdKarBO6nYDCy8hVKxc5rn+a+HZlUma+g5wsG/xkKOsxGhozM
1TBMd+6MDXkspcel5N0VRXQuav15FvGRTvTaYsNiMDNa+bX/hW58n/uAD1yvPuDs4QsY3skUUiDc
wQ8ntSt+UMYdX+MnrwMoBgMC/Jh73foWQdpTg1ZPXZUhrrq8NdjaRiZ7ypBLWLrcgqJrDPZBo7yi
irrJMs6VGPnnIRxinaGZobaF67+NYfdKEXUVGqDYQo/kO7w64ToHM79pUue8Eq19NVtihxI9Juxl
qNPbqjDwP2EIINuAUITywpqjN6MwznrZTyD5fW3TZeYJk2K6IuSy3U5SFFsKmQ9sb/Om9+hzmmVJ
CV3MZ83N8p62j/rIYQcb2s3FbAAtMA0ccOy54u6mgalGNWQd3Nk+wYc6L3P+yiSrAxyk2MFnzQ6m
KArSOKfk9uzg86b7V5i43LV/f+UfiukvlNTLY75f+Ibzm7v05dzq4hd3tEGSpK/r6GDImzKWqJDf
L3wPFQ4yRnjLDNV9BIN/XPjLbBw9y38TK/+xLvFnMBNsRWbj1vIaqD0s4Ee/3PhWLCsCTb3ulGdu
vC0XMOhY5mgVrqGhzdyRiR+Hs7ux40GPMdoPZP44Bt88jPfmVDAfnhKqSBTM9XQJ8MTBxCF65TBN
NUa3hk3vyNjaQR7Eh72ybZm0uN7CdDADLfTLgr7B7e0rr+/9pgg8iPykrDmO4gQxtDptX725a2BJ
dxBBWowqYzP4LUKPuNmlbeUDaNbjQ0SMyapWyr6vywp4BxPrui8JKLGzFOlKrYZzsvymLZbm4uTJ
rL8x3Ey96YXjVHBl4ugNze64la2eXyRuViKVKMNTqsEwhjESY701qKCFsqZrwzMJhexLdaTJVycj
Hbqgwb5bKozZ2HLM5hVgfruWHa6ddYz360Cj0N2Z9BroiAvnndrJ3w2xVChM4DbSG+0kqVk3YtbJ
rFv8zbLXRxv3HWpDp+swzbr6dGrA72wzSJVbuzIwm7Qt3BkufuuNj6nb16EO9MCoADX6fmy+WMsM
NJ4ZqBCc0ptvGRqE875uo8OENPDJclqLEHcTD17FYnymabvsmeHylhaHGg70rdFSfaxTAJ1HVgA+
I+IyPk3LbDmanOTkLDNnn4SKTTr74jTXbKLzumDjPX3mIEfTO+YeeQGHon3oWb5sWz8tIBwl5tGy
DInhOG4zLLkhsp1l2I7gRGOg77RXVmJVAX6b8hzL3nDeMtvH+TYD7tPEtia++quymT6IKo/OxjIh
islJPY2Biauj/m8BUpYT/t+u612iIAW5ZhGeYBvAz4osaQqz2fTDM9lo7gOymUcac/PC1ER1ycsP
t1oGbrEtTayBTaNfTnMMfFCo9BAluL1KsDnIOarpJl72REOr6s2U9OMmGuZw237SdP89Wb9pHDnU
/v5kPU+K6C9mqAYP+v1o9X+zPdsB8my4eKuX8/P3XorxKhFk7jIS5Yhk4ffH1nEZagqPQ1S4n4Dn
7/rGz60jR6tHDr3jgRD7R4pv708TVB93ClAMHC8wauGB/TxBNUKLxVrlOad41qzmnu2DpPkuptwI
4lhjgi8QKieEiWTWU/Vtxs+0X9csVlHL/L/53AV0n3uB6XNHkJcNe69vmwOnheDTtuEZQT6sMktZ
ztl1CWCiAjQBeedlVGaHeMo6TW5RB/ZCpZiXNLOojt9KDw2wubAr0GXGq4n9xAjWArkgBbaZTYEC
eREb4ROHARAMcm7x98pPOEYmSzgZCzFjIEIQekbMf9Vdlz1JbUdbm0gage+U2EkIGEmqjd5BnA2L
oXqjvH2JCMFZd24e0gAV23ZEBVfm6b5OtT2GiQ4HSPGmM6jgQAytYLbz+yTS3s1jVUzH0oYOZXm8
PZLVYyjDO6MW13mpb/xp2KXztdG592poH10S4Wyc2P7x3x/i5w9xMUT8/Q9xcYytALG/Nl+Sv0LB
LI/+/Rdps4VYiC3+f3cXf/wi0QiwUBAQ9pYJA0OMP36SDv/EJ3GT4cP3Xcj3rYYF7Q9IO0uP//6U
/8l4wzAXkPMfyhTOA7jeFqx4h0EJNc+voGcfNh8XpBWfNFKHAmdAAyPmiZp5mOqXobGmfNXVHPvM
ZEnlXVO7O/R0qm7T+ynNaM9nNIwnZO12UNRw/wHbefpwPSpRTq89/T4izgjGOVHToxxYmoCFE2Kx
DJN8iT/VM+r5oOs+jNtdB5orvhVdhxHAIYWCkR3iIABvc3qXY769t+kNzLWEUMJvUQCINnG9batK
ot/sJETXGLWqdHrvoTAGPNwTbfxDRbNEHiQAAORqBZZ8xqZ1sc6wMV9Z2VA9W0Q4PUOMJlwM8WtE
JSXDS083IgGfLk1QCzL7wEI+5xHyWzdc+6V5QJKXr3Mr7Y+65uUnzy2GG7Kj4g24BtNeA30f9j1M
FLAjtXgxSY6cmZT45bwa6EGR5IjE8dapIb0bzRDgNOYuT/YSFMt7bmpWEEf21BbrSa+dxtz2OP2r
cMX6HO+BGKxuh2SNUU2QjNrw3MHrMqhDwwH9gtFTk6bfKtT5W706KYSL/h7ZA//aVDXRztO7+bpt
hvTF8ov22vdaEPnSNfyVRC53h13w5FttRZ/4ydUvtGjQN1G7zB+iT/Y+mSpw+BEjp8+ZbM270aeL
I6INVsUKRV4i97qFsZcJLzyIQ03U43iWe4mtPlwlog9Y4N6u70AhyyQuaypqE+SL1rJn1xovoFxt
n2Km8w3QHs1f0x2v/j25vp1c/7M5u319b15zLBJ/0aJZP7RoLFyJiOCg8UwPKQAI0D/qCFxlrol1
67//hEd9LyRo3ixOM2wM/J+JVumPFo01rSHwVViOWJo3RE//YChrLs3eT6cW5yInIK8Oqihj41/Z
tIi9i3YmOeZylDA/bGa0W+KH0s2ie869sWMWleH+huIzPKs0P6/a0d+5uoCNXGPTDElBCKBKGTdR
5G40wZGWT4VHDE6infPTeHVCcz75ffeh3LrdeGm2+ITCW6vX3GMx4LScYJhuK0BMJw7YTRrFDywv
NwqMwDbxxRmClDP2ZV+zcXpQcQ5UJrusZRMANt6zbEhXfsrik7TCKkilEa04cWXA/LBFFdHHrCLc
j9Sz75WrvWSD9qGGuA48Kv71qBjXFWX+pc7RFGW6Br976AMSdTG9Z6ogLs59m2IKA1DRxlp6A97V
vkuCfiof4ry8Nt1o45Z44L0Jw0TdIywiqKKPoHUf3Mq6wZl/xG33MSMhmYor16gUdIfsVPjuFtn4
Yw7kITTDd9q2u8GBTaGnX6domTlJ81o0LNNEj0l+iNp7GgNzNfVdxRkYy+3YyXFV+7BfObpuc/g8
AeYKlpRCB4Qo0efrBTXgXNoz5RQU1TZM/Y3WLWmcpM9nEMQ5HawdOcDpjQOVPRgZ1sErYhFuJIDf
nVKzjui0k5XHKJueF5/HrDW4aEZcsVqp7/qxPYDPTtiOd8Q+Lknl/WdoeREtmEJzIRam7QIvlJ8g
QznM69Fy1WqgLtsU4A6xjOxH8Idxt9D287bzjl3Ytf5L48zJl1yWZBX4hkS6ZRvh1mkR+3p6AsZ2
9vt1xHRgW9ksZPPZTO6FEg8NyFm4CP5LRtAPnjP4HspOGQRUPcCQSdz5BUTV3MFKFvY7ye2156y/
13oCLHtmW5sxnIvdoIhuzm32oF5rFpftwkLReS8tHIBjPJV3fANA7pNItYbwNV4xwsFM06sK58Xw
1tJTnnuZOTByjj8qA2PvbE/6JvGNk0ZcdbciIYy3HhqI53f9vunDZm82rryt3VpeDqVX3GUmUrQK
MCu5fuTCiy7oOhfXds/JHdEHjy553D1YVCg4fbnqyulSdX64pg+AVJGV/sZJTHXeuQbQU9rWs24C
gBBW6zpWD6xVMFggN4fTVaVBZPto6kZbO3A3qJcsVQoKSR0GieiK3ViV2XtGM7+XvarxHIizTMVE
A86wPZvOn9FGzNylAPKaa2UZ4UUcWeJIIhlZph4RDlKDoV5i3AaG12xHXYxBBwvkqIm5XLVGpq8y
Z5w3/95H31paGs2/r6QvXrMPauVfLXs85nv9jFPZwsXGOElw57Do++EmInHPt2lNiQ5hNYck9veb
iO0gm7/fb6+l2/1eP4vfXKpdEPKeQQ+6ABj/wU1kLWrdX24iumn6WgHJnTL1V1Q87mQK7LpwLrNB
Rufkb9fh7ThmRb13zSTbKTabAGzA29b4UGCHyoPdYHByes3ZZyGerJzV+FEp3YdcwmW2HQmUXdke
m3QLMpBwMKypFHliFhVnms8u6XPDNEp96+YAfzE9bP1ZMPdHaDIQPxaQCD5jvY2j82JU52kht5oY
FrlD2t90Q3swh9F9kaOPVjGN/Y2CxCP1cj9jzFFmdFMbLNZ1l60faazDusibfTcbJ58sNqiM14kl
LvlNHfA53AL222ll+6RFojovwvK8jsk2ie3kYPjqSRLjK7T4Njed+yhZSnBBZ21TdzNIi545dA6W
qDapHj5bPvIx6j2u1TpEODAo4kxYXSQ2ZxgZ6+uGnQ2nun9eW1izssbEqixPNdAcKEXRsc7tV2Qh
lx1U5I43GmpYuZ5LzoUprKg7M28NuWIPvSPQEeCT34hzeS5AXEPd8SrLCCxvOptD7Uk08fWkbJJi
uvTQR+gzaq+d6acZKIgF7maEUDJVuWd4+ZwRIsWIDgyD1czbaCJnOKri95ZzYz1VhhMUpOlBED+T
kW/tcmGeiso2A9XJOEia5qEKY3tjNV97BJ97N3P9DVJIIAwIWRG6fNXGFqiN71M59BxkCb6hwavv
RCMgS/pyD/X7Wkbt3h9QpNrAI9Ku8tZOxEk76tH0MhUIZiL7i8dgc5OiIEE7ND/bTXUG3fJl1Ofr
GuvN0BjPqgJ41nTxV9JvgAuqDBpvS669N+0zKifwYEaLZ0nB3UJgohlOtI6raJua/fsEEYLmytp6
Q/Y+kRLBjdwsDOjEbd8GTAoXjK7x1uWLCbrDkCoDtVij+fshPU6LXzp0ErzTAxAAb9UJD6F3zmkQ
QFXBZoZ0Ba318o7P+LVXSUjkAcfJ1tfAfq3CTIvWDGTi/TTolzM/hmt4F94OcTYAX+a7K4Y+Z5aV
WmvAWCur5jGIobVL9rUIdke93Fh822g3a4tUa4Nbz7aS8YDnjqV2XSZnQoywQgZHbQCUdZhYYTjq
w7BVUMyEHl0CnsMyZBpHq6/RkPn+NViDKGhleqrdig7VeGQDMN02hpY9F4SUowYH7msZY2CETbUR
HV/IxrUyWFAR+haY4yNRmUyx+c2iSOR7YxId6xUEuBiqH04AE0lXKYHna9ORS3uT+bgF+7oBPoco
ABNq+9b0i6qnYrVoNYfC7S0qSnGmCcs5MyJW8WWVGguqq3kxPaydDnzVTR+RwWgvI6ci9uC45U21
1SoJArSb9ffaMJ/SPA+3qPmocxsldsVMRk2WIaYuc5aXLSnquwEYw8owl883ZHM42+F5DY5EIntP
+EWtFclOKfcukmakh5qzNSKyGydrl+Rhtyl9+E7p3DAN98V6XLR4luj5hEgChb22BT07bfMiv46d
hFt8gToCwjwXEZ2nQleXONkz+K9dr7W3LGoH8kHgiMdEwhRGdmz7Bj5EDxsHdN4urKq927dfIytk
6c/lgYhO8oNFXm8exZjf5W0qL/x4YL2dtKvShlCdl3D2I7DzbC8eGSJulV2d96H4GEvTWBGDetZl
irm3Me6Qud7+WyF8qxC4Uv++Qji+fvlo/kJBtMRIfK8RcNToaIeIXTIdUmggKf3Rreq/gRlh0ciU
i9XNjwoi7zeoTGiEYDAJxtI+5cP3GgEfzlIbCB5gGfwq/lGNYLv8l36uEQSLTrQJeIEY84nlRfyk
HNaNqTU71KChn2+9hUnYtU6xkmAKSaN6rMAWVgiKsGlMZ0uXtyvy6CjLfq+DOrQX5qHynXVsYcAp
PXk+lihwZj/FVT7ogQEysVjYid1CURTgFElwQJmX+P7GTqp3o6dk7kR/6npyvI3h2QXKaABndBZK
YxLFL64vAw2R8ENj9voencZ5lKtw7YX0VLzsctsDfiwXAmRkmM9gdInoWuiQUOraQKHUobULv5Ko
9EG2IuM6bvaNKFNy1wBNlll8DXXzdQZAqS2YFn9hUpZOMm8yMJXOwqvs4cKtKvioq9Yr3wRQyxi4
Zc7wEtc9f2K/kC/byrjSQGGmkjQy0JjpwshMG/LE2sS8ctL0Si+scZUkhB6rha0pF8omMiIidVv1
DuSRDaTRJ6ssFnI7xyTqogW9Q3xxxewexqLeAbmypHeBJ/62Be9JbOx1W6iGyRiqSw0EaAwKNO7G
c6KB9bWnFncOuNDIwJUSlZxWzNlL/PUO0L+kFQHU7PkevjRh76XTY6dG1RMtRFLCMVOUDeMXbaGV
RkNMhlehc2ssLFNLCW1TgTd1F8ypLSoOrTC8nhYGaoxbfjtF+qI1yXG8LqzUYqGmlq62Kxc3deJt
y7R+mciI3LWRRcRGFefbLPKg+IFhBUBCcCaQVMisIXzXGgu5B7VVRvk7igowsQvRleVrvpEL5XUE
9yo9QpijpjpiEQcKuDBh2Rpv0wRKrA4uNgkNEtAXgqxp1jdZ6MWBR5EZpAtnVvTse5C6WPvGZH4R
9fN73+gWHpYeEdbCqk0Xam2/8GuT/7B3JrtxY+m2fpXCmbNAbm5ukgc4gxt9q1DfeEJItsS+7/n0
96N9nNd2ZbmQuNOcJJCplCIUIjf/Zq1vRZBsp9E5U4ZAlR7Ue1WQGYAe+yrrmxlOxqVsSXKb/S6E
rOqPDhtxdZcBzu1mgm5Ixsaiduxk19DzL2u/J48O4i7y18+oULNFn2IpoZKmupgJvSWOME+nrEN9
JXdQbF7cSLzpYH3tme8rBrq+VEOIpjk40YEAT0H5RmQHDWJvl8Ry1K66oaJsUPJMbN9gCFvguoeK
qbnZg0IOngafe17ETr5M2lanFRg2o9mY13afvvRZwRjKCQmtrhv0Rdb4OPgzHZ3kQpRu2ixki1d5
TiBcHOcgY9p+2ycsucKcqgmB8MIIfAX/DIhk6TBVgpt4P+XepVLFqR3cetXm2UfYlFANgn0mnGPn
AKRuoiM0ta2I00OgBWc9osrNx8hfyKSFdV3JWz1XHTOlspvFxUfHhPptB3B8bR8ZXswbd/1d3cuj
rukfqrE3dQz0IodpnnvpeMi18VXojKe+erfKgXF+OHbqEE7Nxhn8AbZ7ZDfNU8bwId8MQcHABz5u
fofMvX7Mh6F/GTwByVHpdVftzNCxPvlxbh1w+yX+NbkjvrNvSk1+8nwlYKMRQLdNEQqtoME9GYFU
a2sQXBqen6w9rpedzOFM9hFlRM91t7YK/FdchS+tbHdTnAo0UmoXsJBgKsbjvQ99pFa5d+NM02XI
2maJRXda0txdJ8qPH1qDEy7FpABUKRFUTtGHX9k3laKN0nqCV8K62AEySZY2UjPTbb6kY/dYWoAv
uYu3jkfY6zzmK/Xp2pXhsY1Ha1kU+qsxcI7nGRh4VpZGz6qiabx6VyYaqsrau4yxLpZjA7BFw+K7
yMj1i/fZDD8FLfdq512wNgVgVBtCahhHbwJiah4NbwME1awci8UEUxV1OffhjFm14a3qwynriH+P
dw6leTZtwzbcap1z8WdUawezVcFuxRq992aYqw3VFeuJAQ6E1X8yI1/ttCeOho1OMONgqxkMm82I
WBDbhPWJkChc8LGYE7dmpxvLtM/7hVDlbRgR2cnC4+Rhl8lnDC1ylQAIh3ZfBuJKBqBqLR9Ac1UB
GYFii/XlOodqq8ETRXCunlDlfY56wLf9kBz7GYXbDc3RA3Zilc4C3uZlnKG5AnpuMWN026hgOqvD
8XWAhQPahcbrL5WWG4uWXjtDZbEkSYc4jWSFFffOdnH1gf95V5hSNv3EYWs6zTGa0b40lYr/cdhU
UH/ljP9tw4D+BCIw7B3OZ7rZuAOgroV3cMdey9bei5L/BtWqAy0cm/ypdXBd1UwdtsEPp4b/HuHN
tMAS5xpf9QAVNx3IUsDFqQi2f9eT3+pJyqt/X0+eXuv6/U/AeXMM+g/15GzNJkzNFLRus33+DxUF
Kbvzf0ZdDrgOS9ofMycwUYyo5tgPXaKzIMbj/9WT7j/ZVSh+IoOnb77uvzBzwu/2az1pGbwxi5Ut
NjTJZvnnerJr3UFDH9FfWOzV9jrovAgOig2x1x9DxMvCOzZT7JvrMeq6+NFoDYhwoE3DZl9MoY4j
DDPtqQa3Ma2jQTSUYn2RsYbrMxLrPw+qhziUMHGe1o1f0TIjJmOCa/juh6unRnM31jV8JGbKQCK9
kd0itqa8n6XS2pxSXSpfTPio4p4bZcoNakVE14OxToVfTWtpGymPPODLSJpiY9vqMQFPVedL6yEx
iDDb4FLbh8Kggc2UbHYFZdJuMMc2+uhNZ9j4EcKwte9HLKtnvuouAOx+QOmevIWw9FYu56K2GIux
W2sJMrguDZn3BCiv9RRDHDIN662z0KZNUwpHRR+1gGbfl1trDD5Ur5EAnDkfTM7kokl9eKAFXyPH
EwJe10L/Zb1wDHzY3s7cpPshD5CkgW6Hfgqxhm3HdP1NTMyG4JCteEiiNmfJY4yhvnMqyVzLA+tr
YHXF1Zz7h6LSkms5slZKBsPdOkX2HtuTtTUT019D05PbOm/CtY6zjuLFJnXEapPrWIdtVGJWSotO
LNKy7NeOljMRdMz3oNbyHWoULosOE0LqSw6a3EevrbS3AqfQTk1Ju2Ra42yDqvqwe8/bFoKRm50y
SFz1FX78pBH2Ns/T+uBaerQSWhCdec+0AbnKGap3y7CNoNGTh4sUrh9vXNfDWe3m6bqe09zyPgVY
X0ln0besprOp4m065nOSxYiASwqOqpI6YgIqTvoaEqIKCpkWOsuW/JjyBpwS3ES/b27skAnXNBol
KLAR1BFaNEp43R3WdcfTpJZDsR4MuwVLTuqTN2TxzkgARpPEnu7+Pja/HpuzGuvfH5t3wWvd/Ekb
Pn/X92OTpTFBoWxoWMgyCZ/b3D+OTUb1rJOZ1n8/AL+P6r8dm6SLIj6bV8ezCuZ/23DoegLRjHK/
qoT59r/k5LHMX3W9jAFsforBhAAuseNydv/YhkPgwd4Ku+ZaT2yQ/ZLYWEP2j52tmEyW2qUI9GpR
T+GZom5YwODcwW1gQjdhNOkG5z1vwzM2oXsZZwmx4KWzGk0X1akPMcIxd07SblTjrVNionvMfmmq
xYseewvazpfaoqwPKW/MAWT9UL5CnDqPTfuOD3LdY2JtqOgWo1Gcy0F+Zsm+9UeX6KQaS7AWpu0u
Kqpd5brHOvLX+Hs2Ezh+lmfI+63upET+YPdkiougXY6VDLfBJF6TSt8IXX8O9M7a2B5ld8HWeFth
OiBlEwOBpGWzhqbbOF6Bcl7buWa0joPoDjcQWXcmvsCuGG4yQ/p0VcUG4yvWA97c0cSMvZycflpp
mZEBBrUvrpl84QAptqPALhISygiG3ruvkvwjKVo6xawnobmOzrEEChb6golnR1Z4gCBwCSdspPZ2
mAmQ3mE1hNn1yUNjVRoAYTzGTn4TVAEUd8eFDar5C9tqzsw9qRTbrWiGm5B2ad1O2rgY036rT86H
ocFZA/R5MwT4S0hCfYkiA+tvoRF1mNvspM10OSrzfkrDF/Y15FzMoH8nZuUQEjBgEOFZ6h/4g9QO
c4VcibAd10GtOMg986Ztgqcg4v37uMGRKKHgUSRqtwoeWpGZcp3W7XsexXutZuLtkxBN5MmC1BmF
m5HX0QeiqD2WMHkWPDPzuR0qOTDOLLLFZLZE+PEUKTO8L82Iq6mP+L7EZEaE6lpu0Q5f8tx5gtDC
373Ga4lemIdb8cKA49RE4akK3XCv+YaztBTbfyky1h41cHk26FgmmgLcR34FDfuEShnkKYz8BTRc
7Lf5SxmV4aZMZntLWK0GSax5zxvtuykmpqTblYZ+LQTUNgumPxGjx8pv93VWPLRat83r7Bzk+Qal
M2YStMdAdjsmUapHQpYEpL/r3TPS6Pe6EzhHhy32zXEVZUyGMpVf9JHfarSv87Jvlhip75w42TT6
oZyumu7saeFm1F3E7dnFsLJr0Xm7xIIh1iqXaCjYrADQFy0dUJsTpSjmgFcVIXzW0tCj0A88BAgk
k2X80Cy1iiVKl3TZy1atUr37oIxAUJma9loU860a129DRDJf7nzY0dBSlRPZCOfV3RqZtQ+M0lpN
nkyrhRhNJh2ZO2w1bfDpPk2iUQhMZUvhkCBOHeMPAQY7L442aSe/tFYjN20Qf8nN7hlt3GcyJCLi
FdFc+GZ/TaFDUHeoOno91aw5jgh+tNpMVEfhJ82Rs6fEk8dKLBxKYHUZ3ZmVpZHChgW2/KH7WlAF
CFC2rRwL7qUy40lqDxRfztdCzMk0irKyE6azk45BZ1iZCBiutIzUp7tvRV7vVpp5JPwwP/ZWlgTP
FVmY3SVuih1xWQZG8jFZI0GVmzC0aPb16RWY8G3tsa9r4uEgZdZuKq0ato6mjhZK2xUWDjlvKT6X
eU76aqOIKovkc6wpZxl0HToOgIsHM+diJmUCe4GkPqCH+1R48jWIKsEgM2K0MpUfDKu6pRnkOmFU
vSDfZi61GsQEIxGOI3MVEjIwBxTaGeHrjea1R9DEn7qw/0B7vOwHlqy1gVrRLywGReZwCEakIURk
uHbxGsb5raJIWzTCoqVGGI10vr/TRXTl1e5Ji8aXJBAfkwG9sfatj7hLHxG9rbTpIMYhWkmrYpVX
3cbDbG3DazRP0pJjEthnPU70lTvkr70/QaU0q+WgoRYuw4m4GpFeKTueVmgT/LXOYFfwxFz1tjUh
9GvPkz4egaZ4Sz6FYmeTFrmoc73ZmuRuoO4oVrYbgrKsRu4lT7sn4WSy/CdR1UySZATsRCNJyond
nheviE/FFUosGzUVKqqVydSDwemQX9KhAN2Q96fCQcDjOCRV+IZ9CfvszPAXDVLhXVw0zBRbO79t
XpXbj2tK3bsx0co1KkmmLi4PECtqH7y2ZQrVZ0/IsQ+RFvMe2+m5ZSmE/EZJrgFEFQhTtWWVN++1
6z5wQG/0IjlBCSTlzTd3EEcfMF7Oo81hSTrqnO913TnFrWvlbyEPOryR+pXUm6O0uO+6THpbbzIq
XHbV3qd14NRlacfqAGBGHO9dayQX1gfCCJJvW1sorkNZX0hAvaYS2WSieSSTZwexkFTBVnABtnJY
x3rardG4lfD8PXurIRpf2hjxVyrutpmmGVslAsZSfKBLchguOgvUBYFahzaD81oq92DXw0OSIc4e
cx6CHFkMiScfcqJxTFBXLce5Dq64046M2RFeEYKn1QQvNJme7idBGd95RE6PZukxPzP3UobXULce
NYYYGy0jqJRDjgMO/O2UCm4Jy7kW5AmgaDfTlcqHz1nuP5lWiT7I/jxJk0ZP3xS1es5j/xlljVo1
Zrj30uJZzwnKkdVd74ijGWngcwFi6UlwFFX/6pPc0Nri3Y2JgmjDG2x3OKAb/S4j0QXJrrXhrA+W
f5fdX8vu2V32m7IbpfkhZzgU/snIYv7WP2rvOVYUx5xSYpZZzvjqP2pvAzGMQjtjI6qVmNv+GFmY
xJTyJgQmPEMXyGh+GFlgt3PwkHz9YX+19DZtivhfNmC64WL6oPpHqmPLuTT/AUhIDEA6DHKsLqPW
ISlciNaAwJERxL1X6JUvoVRn7MSAOiB24K2zgInELmWVfmt68jauqKV07oUB3gczjWMA/6Mz21NM
GarBBUnggzhwQiaBQb+DHDIW5klPOAhNmCJAfTaeb59qWCP5qN0gc3uwx+yJ2nfpwCRhfQd5HrX3
mO1jmCWBRoWpoJhQJD/CxYPDod8wzr1qyUJC03AFqwqwBhwU5UwosY0lZ+eDBYaZ2zBaJ1X/5kJQ
8VxW1pX5icipbQdhJfPUpoG40snyyoPA4uYD0h259AHftihZzLw8VxBbMPjsAgPJzTgutDi/REZ0
lUN4Ye6zKiG+UM+/uBBggqA9+/247GYyDIQYE1JMJQoEAR915Yp1OqNkiMI74EZ7pctehEo+kahF
SUq1ZNW3gT9ttShapbBpVFEx1hlrgNjhBQr+LgZ8bUCzsep0N431beo0b5kYUARmVwH0mw4KjsU6
H9nGDhMdhL6CKqm4Ymq1njx3b/ry1p5X+A5cnWYG7MgEh+CM3DHG8lh68auZy1sXJk8QQmYDxnNp
ofWQwrea/G5fTVjjoPlE7rA3oPvIdHxARrNWGfsSIjpBeoHuDmYkkJ2W53CGBKkZF5SwLltBL3+1
v6KESuqPGS7kD8WTEGSqkKX6Rm4ifJrqK43o2xzM+0opitws2Dd5VUUXOU14gyKpMnPbVeh6XYOc
r25WkM5S0rxsKSt5CsV5UxwIEeuW9Sw9NZIZcGJNRDKSccZABxM9uTcCq/oU3QpDbGMBdt1C0Rpl
NJbYjRySCJC7EhkI3WeWwEaFXa6bWRbbzgJZIrasVY1mNpRjuaLwIW3TVDEEYx6yeUEB2KO2dapG
X8eqJUkDJW7oUPdNzMtmia6riXsNzS5dKvmz8jLRP0o0vWUd96t5jiMR/IaTPDvoGrSe7ztXszCY
/xeJcIGF3UQ1HM7q4Tx97Gc5cTEDgLxZYoyTPiaeUr75fpMt9FmIXNRlu6qle8XYhlZtiL64GgrS
ThJD2c1S5lg47/ANP2WjeLDQOvP+A/bXeg09HiG0WbA8CmZxNOo30jxij7zKgkcyCmrG9pcORbWT
9o9yGD9aW0dR4hyI/QjJiWzXbLQfQ2LBCRYsr0i2Kam4mayJWbqdo+FGLUQ948ZzxvucUyGBAfdG
9sx6iE+5JB8wd4DoDD1q7cDPNlE87D0t2Uas1WFqdy+gwvGjNsMl1O23oGO7IjvUUwNprZOtEPPC
hLQxY/oOFEFRio1TIAwrTbH1cvHclMwiOaaWZW3tQ/Dki1aFz6MP88LV5OfQK3lWU6kgPn/TwKjX
Qo3LwdNXZeY94YSlJ3BrfkCL7D32lyjSwbA3VHNTVdwHPU96PRrH9aD4uw+e92zOPE2v8GyuL3ND
QiLParfnFg3jcZnn3JZoeZgjmgS+6gAjOg+dVIvOhTRxuO1puQ/DSfHeugOm/suQsnUcp5bWDtR2
oGPX7yh99UPTOxN7Y9eFBk5tjV33FAf6Xe83RysL7o2RnQhWt1VWRWxJJSGuatBOhNUabFHiB1SD
WPNTQlcTG+7+XRDE2abqaz+AIUr6eQeWg3axC/YS8RchgXKR6cgP9Yl9DYgg8D51yjKxFYBWRtKl
6GdtY0huwrwL/65FvrF8jN/WIqe8/sf/yfz35L2m7vhVsvtDLYKvDYgf7n4WJf/q73cR41gSowhL
lJkK8N08Iv+JbwTPCTBaxLSzLvf7HNAUQAEoRnQLjMwclfaXQH5If38qRWwDohDVkIn4hzWOPn/9
h1IkcmwUbJkbXUHOmCx74QVbWT79UKRdf7PP/SNr0+s8zJr6f/6L0eGfvIppUVMZlhQoiPh4fnyV
0kPpa00AAps8CpNVTmwY5zAzxaVnMvmKzLrCki2Mk+3D52mLIFomk3fsULTe6kVwk4TOlt4zPPW6
jhzX0Kyl4fDESYxQX+p+sO9Fum+74Bx27q5ojZM+9TfMd87llIOPMS9h5R/0KMZQ1fngafTSRXnE
Oei11rggJ+yLMRBNwDKfL9KtI5VrP0ILRR9LBgZauA24lT2+f7CxQ4wwQdWh16Z06/WDDbcQoUU0
m7aGdmJxFNOkLPEAPnqzsQvAqvlJpOS3a8iytqEeB2odtCU+vXws46c8N6C9O9j4dr47+8OMr16x
znSuFDUI6rnZRgbGEPhvYxam8ziJUpHzIZJtpVEdbo28h4y/LOj8wMS0VgpzljPb0i5OKbQzP79A
FpSzfSUuIJ937gj4VgrjAnsgQT429rudmcj40GK0d655vdr8ZI2+DSNtzFmIE8pxm8MvHK4DI0IF
zDj26FbKPhAp4b9gq5RPHc8HYk7J0ZNNhnLCAa9QQWCCMQtIsEMorPe1C18JepLKZLHWWoK8RTFA
b2qRVJS+P+47YXU4jVp73fCZQ8mZ6tca7fYw8ugcB0fAfGGSR7bDmvIfs3LS9bfkgxwinfEL2XTu
LfABY4E2khTSkb46L1KgELFcdbmxssvwyUkZEfOn61aKMQMeCFzOPFaYSlCdHNTUBmsbFeq2aRJj
mbmevKqDTnCslvVWmd2ulxmEmEHUN7gvDJZM6TnMknNX1dkGideNzK29Qye68lSy446JV76pX9du
f9dALXog38D5IFQFuXm8Uv2gPvKwXVlpvYq90rjXtXaD6GUDCTMG9oRWyUEEOiCGrVXxpa6b9yys
3kcAe3iiV2AtD+6QbjhACE+ZtnLQz6PTrRBZ7AxLnKbZblp1b7rVogrXNklvsIIiuLsdP5P5xOrq
M8xeY9WrxGSRhw0stroXS4VvyaTkWtVxfUAQ7C+0fjqJVFDGirMq2hUgn5eCP1/dUKBkjr32OrXx
hbNr9Qm5Sg2B1xMMwcqFSRT6wqgzfR9ZJFUZI/pS277md7y12hb2Ll0/8m+PSOMOdi1yFUJcPXHT
JJhM+rI5+mLgYiafPCkZUDFt4CpLmfxwE+m5vRAuQ1lC1B1aHEbpT9rEpBS1Qiv8Gyy4J+ggy064
p7TtbgIX8TktgfCQJfn+wKQS8FMU9HiyqhwWVKVfxVr8KY+NT5AaD2EdH/PEOUStcTP1xioh/zlP
kjMiGoDY5XicbJt1LHtCB0lVGds7nKkrt+L5G6CpGaf+gJd13JdTlh0aJ0f44mECDTKI4n6SrZiM
xtvSZfpcE9MxjVq5+f3Ja8wRnb+e74Jm1iGvSeerzi/nezAaiMBUgmKxBBrWJe5IgMYYo+brklOT
mv3K7ggnz4OUxen0bhRlfVOWsX7vTA7otGG4hWZ90gfiD137SR+abRmojyyOfAR0pMX4EVwnBPub
fOKaTkCk555VL3t20pgLYbjYTrMjQfgNK2+7DKP6UaCdWncGkRkwnPJFki37clnT1RTsGhov2xpR
tRWyu05Evq1T+8uYpHetHR1apJhTnRzKltCwIj85tXC3TT8SGDuGOzEE1rKmulEeybOBjLY+8tNV
rde3cmyZzwbqoAcu97Xp6wQZGcz9q+EhCqmdXIWjQIziIpk7Lks115hhfO6K6Sqoo33cW1urp8wP
E8hPGZ1468CVTiG8AftYW35xQjBINmQmLmHSA1JNdzzXyDMq2IPkY43qqLrEUXIrwT0vOiyTK5Vp
4dIs2PdW1XWIM22VTmwVaLUe5ChLJuThq6vbxxAPHKp9ZvN4KiA5zkHuW6NIIdcYL1E6rlJTLYH+
7litndmPfcld+6SXekdRr33xDDUtCpB8qgUVEyepsdeK+SxrTqGtnoWebHSdkpGo6ZcxFcYyqscY
ko9/MSfLWBE7GC5kETk7suDbx5wV2BEMQ4Uat0/3v79Uf/WwUogoAmccWziEAMh5ZPNjiYDOvYfc
k5KpDgLdjA6VaBe/f4WfeRv8SNNGKYKtxlKoThjz/fwKOOyxLLq+f5UoWJvqgrRrFxa3VQ+ls0qW
oSo3brT+/WuiQfnpBvzXV51/7x8KrLZgQyBNTTvrY3ZnodtGCZbd8VR8RuAxQuyFiNM41pPyTPBl
WbxEtEWjnPVzIH2YL7Nqes41+xQ2Ul+SF7VJ3N54cwJps6SJHhSd38qPx6OdyBfFEOBgJKZquZqy
nA2gna2dQitXRkGajZ2N474dbPMtz6Jmgy/KhAEefk64VtelroIVJ/DIUkHpS6Yrd61MJrwjKPz8
TuxT37wOxuYLPoMdD6X7uqo2qu5rRsnRztQDDe8SFUrSZ9mWlkhfluxGV1VvoaIIh1sRZKtZmE1v
5UM1dMkvqruPsmZbURfhvpLaDqfR/TBFT1KPDxZjByQzFGuhZ0IZakIWAq21j6foiNlolY2eWNHN
EZTkxZyy+lM3ayzDKD07wbDNKpa13sQVzBSg8dNlQPucR6mzKKbIWVWJdy5KZzlPdoyc5FvHH+4C
BmGLodCwh8ZYLUxarMlutloRApNs81flM5DS05uyIEyzGRo2JofOIpK7s0zWDw4nIl7UbMQS67Hh
AGxwVYClZBpg7ZF2vIOwgw4H+Le05NYv5MmG1vcfLrf/dI3/stTvGYZ2oGq1c3TKrv0rbcNo6bHf
Tntrp04Oj57lZ9Ev8L2cs0/9t+jZz8N/++9ICZPRz7Ofy/w/vdRBxjApFbbhzm/uh0vdKAIniwmL
PDOpWGQnsSw2zDmMo/Zkb/S1/nDRlqenbk04QvfKP5Kr8aQvDuHGu4Kznf6Hd/Pzg+/bfWfig8Bh
D6eU59/Pb2ZkeQUWKAquAv2aAFRWzE9V90398m9/45/PrH99jdnp8MMvPFVpqwVBEvBwffernTve
/P7P+ae/g414xJ6ldKjcfv75BBRM+LpKHt7adelyP1jUnN9OqL+5fLM39ferhFMb1v+4vCE//jP+
A9/+fZ2Ao0YCVyAZhg3jN9jeD+sEWNw6iwMadfOrXud7Cw+Hz+V7/ujguXq+O2ro7lk+0HkDpfoW
kf4XFJA/X4UWiyvXcPiHRL1iUNX/chVWWIFqU9k+GXt0CeIYIqn74aP5kzv7V88OV7rrAACEjEMV
Sdr7rxFKqZHrbpGMw5Uf23tSwt3NIERUbex0OA8mEkkseWO9ZfwUrZVWVOyueajdCVTH+coBYX22
K9ut4cR45Zk8EQdudWuq8qyUpg9rWbejv9JpYKd13evrvOj1AsZBmpLCgfpnAJmzRbEn8OeSXcZ4
rFzXeR9tTUUJlXXqOrIzf0vNjj2GSJJtqPlI0UlPizTsQ/2U3/EcDT7SCHmPaYQegFuHOJG1m4xS
gKRL+Le1AenbWAcy1c27JitwUBTlUN40A+8iLKfNhNVzoQ3Bs1kYx2AICElhxbuI3XhvduW2s9Wp
b5WxsBvtqg26Rys270u3vqvi6eRn3aOy0mzhKDyBcShPJWGVCBFPQUDH7/vxHngo+cuDOqJ0x+vI
swozJexZuh6dke+Uj4fK0l+KKBqXkNaB5BOEXIUq2jGmx+CgvwWKQiAoTHspcT3TjBvvQZLTbGB+
GnOqnsYNEV9IYuiaYbC2melNx3Isjp2nbQdE741G8g2ZDdUqNHHvTgWRQ+E5JcN87ZlzVYqgaZqq
PW6L28AqGQNnFuIkLWY/QYCQXxv7rB6qdRWkd3nVHAOY/uiedPV57GLG2ZVPqqVQmwHnwmIwwrWE
ZcHeIFulnbcfivJMd83WIGKmHBPvjk4OGYQfWXeWHImGGHAo1BnY0sxzxSr1JNzYsTmXqpsDVKp9
B2Fkmyf6u1TtFyO10NEmKj2aLpB0tt1WeFNkDrzHQYZMkJD0sETUDm4cGdva0T/HWrCfFBARw35o
Am2bBPhjYOmzXHGWrWmcIAPfdBkYVpgUUeWtaduWqepjIvbE1ukbsSpNPngrI7RI756MGWNbWD5K
BPcTZKgz8gTETtVwsBL9euKHdkZ2TtGeTRJxSqG9itp4RzSzh/pxMj0kaPYjsdO5Mx3slBwfC7lb
ZVsP5WSQMkciAMsIYinZ9afxyRLjte+RD8tIjfSK2H0Bp4uZHDFQ1RsnV2YoGuSlxB2cEgIYTBhh
ranc2IF27wz1g8QVMvjxsLIC/1p2yHSoBueJWXhs8njPEDFZTJ3xWGjBveOkD4iuF1PWb+ZVl7CH
Q+lqhwEfNZMNdSgjd5uQ9MfSv16ZudHuZSubW9lHB36/oxXpnxjWo/EzkxBzSUVMpFngsZZDvBu0
VLyAy7SfayeH+z+Mo/eQNl58O4D4ZOuZGGtZMbzSwoa0Gi1m4zLb64NmxDYkUHf33BanroBC2cpZ
BZdUHQMG1EDzHYaXIUf4NG90Ss95m7CpEVChHjWmQOuuVmwjC4jdCVa5Rro1FzNm6G4k7RG+pA+2
xLptdLSRZkkd6nd4O6gzjl0OxaWI+wXmbGIUihoqsiuflbqL+MuvylYjnGIOy3VYTJ49dMzrYaK3
w8bxJn0U66ocA245l7+RdU8Ee8znOMYIH/0TienTYoy9m7jJ33AyLSMP5UpEX0dGyR0c5RfTLD7V
bQz4K9p1UfNhV/2FiWtELBM2DLDQL/AONoGyP7HxpX2tBf3jHD/WM81r6sxZRPZ4qj2L2MlwGSWE
oJfiCyF9w7ZA1xVl3UtneltLNrhmiEcjdWRTVPyZ4x6Mn/1kZPUjkiwkeDmaoSG6G5LxlLn9rimR
emt99OSjKAp7btFhOHdeumVAxH4sUbdNM10gw7zQv1/lkVw6siMIrYL2nh9Ce+o2naRpHnQCgaW7
zlT8Cb1cDTJIbWVEjOpAxipG+XDv14hJAzPD+W+pOxxofIKJAUAgs+9RzBwaEzMZzNIXngQsXHNs
Q0Ds2ec0uzzy0dmVaB31amfRFnHcrFjSnc2M3z4N7BPGvR3tyIH8rRe36FbelC8L4hMYuezggQJb
9aAmCdKaHW1l9eGuTUh/K1vvVW/iA5/1Kpww97vCPch2vKnJV15GsmZuqe0qS33ydDizLOhxUN55
9HZUtBP8Q/gBKVlSuhw+PL23GClln3RS2RYCYa5rJdvSK+/TrJnAAOS7zu/KneOm48kwsIYKcSKq
9pMCRaFX7PWIdmsQ+ukG/m3ZXxOdyeCqwhgRO9UzuaGMM3Tnos+pn31WlsfasH1SaJgvWkp9DhPE
u6Xua899obhegO+s8VV6C1OGyRdiqeyVMNMAgSBzd8yg3sfvi5B/KYbdObpIKKoQ/O7QSn4uho3Y
MtIUIddVRNcbP8bum7S2/38v8UuvPnIVqxgsz5VejoD7Lm1xIRr496/xs1tlrqS+JjDNEQoG9hHz
l19DiBZJrhv6F73nKW9fpuY0DPeatvr9y/xLI8jLsFfCsGOCJ2Pu//On5efRaNpx519auLgljW1N
OqFWPrTyuu+MharZW1qHr6/5dyshuBD+fStxzv+Mejl/zx/9g/1PB12RYGMnYXzMQMzv/QOthSLD
S5fs8ZT+1dz0vX+AH0fLB7WHFeH/Lg6/9w8z/ZvOlrsBlRLf9pdWgPCBuBh+pF4yFnakYv+II8AG
JPLLNVlPPOhbq1VXvplNJzTBegHjwQlKSaQE3OJpMXktY0MNomNCOe/Z+XnUkXSv2zBihtVYenJ2
2lAnn0f4vIa/rLERybWntRJqGVIIkaFT7S2YZz3pPP5T3+IkXk26T3Q82EvNLfY1Ct2CBE1LDTdt
ZOOuDDS0fDay92VLmqXQW0amWKebzHY4cBEdlR2DTpy/aLN9rd54rX4fZeJcZYrdWsoKZtRvs3F2
BlPyLXJ0/UWeHrPSOxn98Ij6ndmqTeFaFCnl1z5JfVIwfSqf/8veeTTHjbTZ+r/MHh1wCRNxZxaF
8jRVNBLNBkFRFLxP2F9/H1DdaqrEj7o9M4u7+JaKbjIJIIHMfN9znsOuOvISm81pOtg9OngYAq0/
UbwdprvMdo+aSgRCCjVFaRuizIGULDjHk0iZOXtEH1/1QQ7LqO3u5SBwTQbpWRapLCXFeCThcsQ8
0FG3bcGg+TTzPcOehiUK4BQiTw7IWkBHh5a6onGDHLzVYB443VdUymeYXzFXsvsBwal9HeB70fBr
1rQ0CbYgUTzTUvIZ9NKLQOrQ3cxgnPXn7A1ar4s6lA6FccORal3Zrb72E1IKFAgMPoTynRkC9hvM
4jLWi2sMVEQZkBhJdSwkenjRORXbZWDWbfoFGTWUmLBDIomOIU1g/5qK15XB3vQ5LJUOZlB/YpWS
Q7zA85CsndEGA2DIi4wsmHWSzk0FmmwcfO6QhBJPSA7KxkA4vlSs4DjY1NdNV3paJfcdYWqLSq3v
ggJMypSIs3HUbmQwrMCHdzTHNIIz4mtOWOfkMy4TO2oXljUhiRIsqKWp+Kzcfuipg3tURWGz7TNe
ilRrtloJq1jkBSqtXG5CjkW5kXyy2QsSLrlAS3RQwrIE84ZDy0xdzoxpDP4A0Y+N24X2casaD2qJ
Rs6OBdi59GZIBGfcefXwQ1grDj2JsYmx8at6eEbDBLSSO+HQ6/u73NbnNVreDX7/WTObW7PhQIIj
cIMP4RA3AoGHszCFxK/MVgn0Qo8ACslwlRCr4WAHNmR748fYEAowp/SSA7ZAZrCtZHXdWtND4gSP
0NKJFomQoBAUUoE9MjXPVNtPXaRaBG7RBS6skB15sVdt9ymfHM60QaV7eqHdUEdfR7V5WzbqRjGK
Y0/uFNFUxg3LjbN0QhXpOTnUQWheRHaJLDZBchSld2Cq8g2spyfiU4ctVKht29UmtUfH9XKFuE0D
MOBayvwBnwMCnrkznQ6Tc+ZidwAXiNlHneoZs7/Oeqzavp6aK6os1sJS+nXajAdNM19qUqQXRU1O
l22T9emH+zoz0pWlDS9J5F7HJsIiy2B7oqXklTbT+K3vMtyOHX03Qj5MT3dsB46OpLFoU2z3kdlQ
P2fqoJXAQaKAriij0avGQnjIqbZJMDxZocxX0spzFEXuRSuqC1IDXxI5GMtiwB9Zz85/AQKAut23
GiRAUETbcSoe8ldWANAAe6YHlGAE1Jkn4MCrXeqtdW0OurkLsFcu4PHTL9XjC46ne9jymxFAAdqN
K86bZ1ka70JZ3fghkv+ZaACP45zo3gM1l9tyZh4Y41ihsYeD4PJd5NsIGwHPIwJ2aAkx2IR85ifY
M0khbfyFmNkKPc1YL+r6z+7MXWgLHJrdzGKAMPUwzHQGvBIEC8BrwK9YeO6g05YG5qD3L/3MdoDO
Fq3y0SRnOHsYMPVsNLe9STkO0xYuPr+SiYxG+ayb4iUEdMlRBvkTSXs7tSmeXd18nGr1W6cxGcrc
ui1rHhiVbGMpUtnwiciJTMrsYwelBT6Rhtsf71SadpdCSVBtsuNsw8MECWotzLmo3yn6YoJcYqP2
XYaOuiPpIYKp4Qw7s6coVfr3oU0nsE6jl4xMt4VvEsdKulS+bZLuEycI3Ev2QFjq9yyJf++SXrXb
OtuGj3ZJX4vnX5VS8w/92Ca5f1Bn1KmImmBHiQn/e5s0R57C2MVIRyEcdBA7qD+3STgmXWqpro1p
Uswtvh9V1lcvJXx/cIguxhAVWOI/qbLOZdSfNkkmmDVyWjRCL1CJv2qc3hT7q6IyJW9YeKwApWKG
fLVzC/ugYfOrZyjK7PUGeD8bv9sSOy6Sm9kRPtIqqtfU8zR507+6xlEYbvFGG/4TBctYXfV9niqE
EZrQ+rUwHrVVQAuHGkySR3BxKzMkO0sjv4puyiSmNPLSxvVnd3JuG1CMRov3F3y064z4NFt7op8Z
UeaxAYigzYyFwoca8c62CmoWsXxWA1pVn9aHAMYJHmMDs8UqcOCcLBLHgmIjW+VFRK78fr769wFh
rrl/MPVfcub+u2z8+Qf/mv6wPR3wmI7Dhh+rwWw/+OuUoJsz0gvxs9BIi0D29/f0V4n30zlNut/f
i7nr8dcpgQME3S9VpWCv/zOzsMVveTP56Z6ps0mYcwjWCdd2T3vnNuU1B1yBctCUlKkWQWgypxe/
R/KViNRiCqlr5D3repz9MGpU1tduneHYsjvFQPRc5DZwaZeatgvfbtk2Wn0H6scen4XiSNwFVE/0
GZQXVzM8T8dIEDTUIZBNmxv8EvVimCF7VBkGTLiKu64h8FGiV5+DCihfpQ/luphBfcixQTzP8D6C
7oeVMQP9QNDXj+Ur5G/G/U1hJ/Z9bu/juDYWPXAFEWZ0oaEEtnr7JRswOXUzQDCdUYK4DdF4jRd0
R10wJ2IVumZ36cwAwqymHMunx9gAegaCPYMKazLWODoFLMRusnIgPyz0GWw4obRhN9wc4yYnLXSU
6QMJe+ONprFfwgoLofsyqoIQtbN7FU9ox0GpcsiKCZ3roSCDLmsiJP0OTW5TpnLhdEAY7RnHKO0+
2ueviMYZ1sgWRF01rwRHTgn9wpmxjlQp53IuqEeI3yS8omqOZWF4MjLJ2gMMmXTFcDU5wCJJyk2u
BviRxQySdGekJFVGfiiZpmhNoQK0qWfkKYBWSp3beiZSouAGTomnxVnCmwJZGYfEfqD0L/0bwbCb
Lo5LdcXEznd53XWbrAEm6VuKcwEEH2kK8OOLxOKH8wuNotkV2H48hVT3wtx6CmrkLn1DQ0cz3YeE
UIKVL8tvqptlHkbx83TeazvxeEgRFJHnmn0LEa+jM5AHKt2E2RE44Zm1kxCeywkHz82u7ip7r4tS
87qY9ISYg4WeZRuTjtPGrYElDaJl8z32Ogrutuz5A6Te0oWpu143LzpRKnsKLCBEoVIchWiAENUI
EFTK08Lw9IYUpJKi9HldubSkmGiAoXtrXVeiOrPMolgqRQGiDPUDSql2Q8rWY9qhJFUHzSOEr9n3
OG8XaRdobGp85xI47lrJ3K+60pxbcXZVtLgJAXw3pY1QRlfKy1GJxp1u0XrDfb1VBOWlTIr0Vo19
f+U4L5Kye5SiKDLt8zEEMY3XflMNI/zzac01E5Wcn4sse5w65Uxo0XkWgvGJWuFf5A67wQweOi5d
4urHIdhVYbpDu75NKh4SOdH7so9Q1cS2vwDv9RS0PW+gFR2GruhAeNK8VmSXeY5beZqV7lwpVk4N
nJ+UxR65HVbvb5bNJk1m63qy19gNPbVrCjSF6nVJ7G5Yxjub5C+3H7xewwhO0YGs7CH95KTqQTfb
TwRvsP4lbmEBFiQz13emb2WlXePK2dmkQhs0E6lnG2Rs0X9QEg/n1FNoGRvMKitCK0ui85xjk+TX
TqF/dTk9LbLUeJHueG3iSV2CQL8Y6QIqCanRPGMUUfBokZEh/fK6SSVqw8+eAXLc9vN81JJ4V7fh
ES7/IcO8C5h35w/F1s4Kjw9p4qVCvcry4XKsRk9HJJj77VLh/EUa0GZqk62NCicr463VDGtFzOI6
PXq2iN5IcRApIGKT0Ca+ojjkpYpnRi02hK4hZWqDoy4hlnbBduCclhXKeUcC85hGGOsg0CcDZ5rs
G5VDz+c8SsHK82XKeeql8NvrQWK4cdQtPbsFFtd7AdetmUgCMxlD1jQW9QPyqptGWmsTa4cIBg4v
7py4qC/dFGJp0aubzKw913eZgb4CDEVdU5T+NiJk4Au3BnuIJ9RZWg6eeKwuO0ODZzPV96om95Nw
biyrvHdC0ju78arNvuZj+VKpKjLhgd6qQaSAVa4bf1wmgbkK1dELjPAK9sNF0RnXug/OUaEMVdM1
xeRVqupWcbut0+CjDdObWBTnkjzSmr/U9vGOWKKkTEWImNqueRUvG9dZa0azN3y6rEO1ohEzkP7a
LDljYtoy9ee+Le75VXAeiSAaG5MCAf1KTC69R9zdU5M3Xu4oZ6ksdpNicy63w0VXJ+tQYZGgtVR5
sB0pJ1k2rIbuLmvzRwnneSR+FEQnhBt4y4Wst7nDAWnIaLIJLPZxd9/X6l1Rx9e438CWDevIb7l3
lNdyubWlYHbaGwRJV3mRnpUIGcl8uUkje+sM/gG/1S43s33nawAJECHlbbTO0vFY+jMBrF+UvcMR
0z03tOGhpA411qiV2Kt/8mvCMuvmkDfiGmqxunC05qYVYtmVnC1rzC+5SM9TERCCVqnE1wcX9fyh
mor7MZFneg2tvwx5s3tg973X9POmJ4dLln+qy3Gv6cWZopvhQfFV/wvEpvSmgWDjTbrc18i7Jsoe
HVRvRYm/ctb7FMsMdBhqTKzp8oGy6kKfHVcF9OpI+2plUDVkdZ/U4Y7+xoHvLaSgOtlofXOGpZ/3
MrUTb1K1h1A05do1ktuslqQBDskmMbRjnGBZTOCY5KQMr6kRbP3E8npdyVYRLZ8Oo4Id9IGnjfoy
SRF/hvlxCKxN7A/7gbpfqSBsb+InSQGvZP3jDWiAOnb2qm3p3YZK7sFSpLlNhE7KIjG4+bZTnK8d
UBJ6U5ugs9fQMFZ5UfL9acDaBcO0HrL8bJTBWS3FLbDQ2dtfejmbexkBRAl7ZZ/rJnMdUBvt51or
QFjIi0npH5q6fEatik63calx0Hsz4UFkKsvfmy3tOxqRk/bM6w7R0HTcrERVuu6p3kr2dY1+IVcO
aga5kppUcq3Qevx4kLlr8fcZ7Ps2FHWZpqkEzlJSn5srb85gQFdVC+6tchicLzX0x/ZhKGAWox74
neTlvQ3v25FO+ieFX4za5DOS7lyGJiY+m/zmaVdYn+P2MSos7+MLe/fu8TZhj0GVBvD05wvTgVk6
floEx055lO1ZFTznKafpH2eOdx7Qe1fEbpnN8py9hfv45yF8KhqqO5bhsTNBtm9abHFpiIo52ETk
Qury8uPh3rkioDAcWpAeQY07bdfNAFR9VGV0jHJkmQanzFmf85tr4th/Oh9+GmT+72/mQ+MrUlg+
g8R1vZD1OUFPy//ZZcyX+WYEQqoldldGAPhqIcNOilsfeOzHg5w06+Z356fLOHk0ZTImZZc10XFQ
jAUlYzc6wsfhA/cg0LM3Bx1qxMcjvvd0AA/T6xEWddxTZWESwaLJYy062tUVPV2vTHf2P2zYvl4V
AEDLpEml60jUfr51vjAAmXR1fCRne5VZKMQKD4zRxxfy3q0zkEgKkyBTW3dPBin60LajiC5tXT7k
1nnISRFb5ML1b+L2zASg1vtXH484z6mTbxCfuL9HPHlYCLYxeGgjgOUB6W9zR17Ubz4G2s9Ph2Yg
rj4bbKKOOxDF3akWvinoxISDlh3j83ondyyeF6QqrMRVeC28fBWtHU9Zf3xVPw/5+mX96apOvneg
s7MB4Fx87CwU3QGkfly3erH9eJT37x1tfJWVU1ji5GlZk2bZEtn60a9cT4el68jf3Lv57p8+HcDn
zDYa7bZ9OrFLEjPBiyvxEQXMYnR0dpuPEcAuFDa/uZb37tjbkYyfpzcn4qIGrhYfNarazpXwb6rp
N5+394cgnlRzcYjCzPx5iEhLOsecguSY5wdB8W9AvUe34DeL6nuvEJPtxygnjz6pO4RTCBCPUfKc
KjhXlFVNKZ2GYSKPSrJJxW+e0S+XBaiTuDLzVf2qAS36+bLI1rXLzC7So+w2Vf3YW6tquv6HE+1k
CGppbz/beRdwQ0PgdhT1F5oSLMdY/Oa2/TKXX4eYYfkqGx7qbD8PEQ8DokJOWscmfVamndVHvxng
l6nMAIR4C94TCm+0+38egE+njRN/yo7s87IW4n28i1Br5e7L6736d1V2/rz82CEtn+TTnz7tSzL/
/vM/HmAs/dqPmH/mR0EWVAy6bqAvCKyR0/CG/yjI6n+YtAH4VHMMZ3+j/yjIQpFx9fmBIf02NBZ2
Xqe/C7IsUqqFlNpFuyFIR/oHDQmiUZkAf3/rEH6zl7NMAyQkKx84Sf6It5Nc4lzKcUgPh1JyzAZP
RShefSt1Mj3iOYBs0vLiNuq09KDLLLtp5qAyRdXabcvOloYCZwuw3qgoTOPSsE11JdMMYpgdvxhI
Fj3JBuIsJBHNbXtCzOaQtGSOS8NCRZhBRkCgC6eetnWHLQZOhyRnrSO/8pAFFetuTwibFtAKbunn
rAIOnssGf0yGbmybpkD9YlKAQJHsDHLdgoqAt2GOerPm0Ld0jn8zyYFTVKvfuiTD5XNEXDWHxYU6
sXFyDpCjlzyACElx3WmOvx5U6W5BqYlD0OtUnzI32/alDY03MHCF53P2WmDfFwR5zqY24Extdt5W
4yZxlYdeaLiGi5Y0UxF7Iiz3amuuEjugahl0+6RWUHg6n7mbFwU6EgypBXVeq80WeRI+is58oiM8
UPwo7ggtupvBVZzkA3qLQXQjTc6ARqpYCyPXyFUMyO+bkOopVvZiBNRPh9zaWzVmOyKbIJER37CW
igjWod8jbxcTnfIUlbpV3hSKf2mm4xdnwrGNRpUrMb76Y3MEWdidQw6m5yvBAVe9cwl8i9KsP12K
gkcqy2FZjf0xyYwvulHfTX3yrPhlvSjCcJ+kw8GiboVlkYqWNtcxlV7fCfaPuLMHELiBe0CNLT09
MylJWefFkDmrwjboIWvhQxlMV6Zpwoik2KEMEzujV5+kXwye5VSJczCoZRtfEH+LcWdLEiywi58p
r+FcNaC8JaLzZhHa4kUh2gYQhslne1y/puL6biwu1C7dd3Pylz1ngGEAP6cXiFFu5uT5qobPWYAw
HwVF9wp4UaNM+nUtBKU5p86JO0qeK700SSyKRtgtI3qJ2MX8iLPeSiZuctT4O2VsKjxhlCN7XnBP
ZaYaQXmd5jl2rsjcDQ4Fo9lkcJuHPmwg08Q9Rl5CLeKesCMrW+p+T1qgSvV+9F/GUd9GxGnuEiFu
a+mTe5sTuZ0YHjCGS6ru6Q6trwWCh9a6nVo7yn/mwZYo3Qenlvj5I6TytXnTJZiTfSnOUWCUFLFH
1yMtaF+nbbTXRoLGzJRsjCLiKUnXS437RvMPSh8Aaadzb/bRRlY1lQI3qzcYPGlW4sJ2qvRLmIq1
U5S86rwmZWnjiKYAXIbNHtVTuUsUdC5ppGkHLNLG0sftdI2MJNjnJhVNTqyXXYVOInatlT66AE9w
ti6MDpeDDyh11CgrjVWZ7KtxchatrvtbtZJoOdjgbsbAd5eqUjW7ssrPglClmBm0xh6i6IR6XFM2
ZlHhBKnKK0uBNz8l415Rg/tSyYyjHhMiydcPnmhkul6YlHuF2lIwBP7KisuHimrrtybP5syR1ryy
4/hloqkCG9I1ZP19nf73+mmw4Pzr9XOO/V7XT/lz1Dy/s5DOP/xjIdVBF+MbMlmyoENq7EB/LKTG
HxoNyj/58a/Gor/0jzYLKZ19mvc/fuqvhRSkCl19MVva/7n+8eeN3OsyCp3FYps1/1JTnZfZN0d8
rBiqE/v1hBT3rnL8xRzS+ebGHL8vyW+dkT8v1PPhyuR3sH+ndaszxPwXvBmBfE2rHEpDOzQcGcEQ
CzwPjaDm95sjyc9X8us488b7zTjUhUvec6EdxCwYqM97++vHF0Lb+O2W49cRTs4KgVbl+hxNeNAH
G4LVJ9v9Rr4JPKSD23Yr1Kxe0z2U7DCio0RXqUUvJJIHdCSKK5nfBD1mA/pfIlg5FNMDE53nTZ+F
VEH/BJP/S2umNm9+/t4c/fqXnuyejUjxqUnO9wLvEpT2qrxroQOA3z/09PF8Hyrz+M1GKgR7DVfW
n1ikf/kHvEZdnv4BlPKEpfL4wbydnA/wA2uyU+3xgCeOfrnm1lA8kWtLwhDNis94TMDvLnbQiwI/
Fm1/raU0zXqwlF6nKpNXC6CAetmqHclE6r4nbLbepNm9nhn73lcJdNaVWPs0GBk+uMRFLOjTSs/j
eFVb9a5sSYXtqjW9smUnRxDYh86KVrDvF0WFBcRC/4QgMtOPmOFQzt43fko35rYJnAtiuGhkW8sO
So9O/oYhYFJPKQHyJYCQW4SR1dKirT9VgLFGzWu1FrFVturL7VjdNzBpRwpZVZ+fadK8iuOLeMg2
XQ6WOxMoMo3JINzuVprWEgcH9ZohWIgoMJfk7RFF5GQk5yTpgyRqKMsmGDXCB0wSmOcfT+ZfCeh8
d968+ObJ69JHbhPTkp8O6sbY+rvpXN4ZG2dXHyChn8tt5dUr9IjeuDa8fb3P1sVyeFB2UAw36gZA
4zq++PgPml+e0xnz9jNxUlEwgQ7Z2TxlcVvhTsn7JVsitG/qbz5H89T/aJyTD54TZVMahoyjkLp2
O3yt5javRxSn5f/mpK/Nk/x0qLcvwck53OV/rg1Mh4fQ8OIj3rJ28GriCZsV+ZvBgd3tx7fwvS8g
onk4Sg5SMjwW/D1vvoCZlQ22Dc/g0GMwz6cvnXL8eID3PoBvBzi5dySa2xQXdP0AsaOF7N4rXjP8
rs3xu0FOvrLu4FrkfjGI251N1V5at7r1+PF1vLckvb2Ok8/jyFpdI6vQD9QfvCHticK4hgI20xRf
B/rf3h1dRM910RTf5P+Zf/NzUY41aEL5Xz//s/n+b3gE83H+p3/QfY4k/eCXerx+adqUH/3+rZ7/
z//X//hngeCWjvJ//sfTV2rgy6iRdfQsWV5OIW/z4vivt0e4QuQLJKb3f+7HzohQB/YwsGgJZkHh
x3z+sTNC2GjP1SXLAhT7SqP9a2dkQbclNonyJjVb/oq/tkXiDwAqLrVpjD/sZv6Z6Mue6xtvXl42
Ri7lCgSPjmFQq0NJefIylalJF8yxLjMDG16p+uayUO0H2yFzwW7vCJL6lExX/gyar7SVXjnEAASf
/HRKPLQxBgzuBE7jeGGdx4HybPTJp0yhZa4ZdbwZ6/yLJdFqjX2wK7N4qwY5wui2QEZWkzcMHNHT
Ve1RIRXhiyYxBXPa7VfIun3SCmNCyWprC1R8n/c0sWIjvMvo7HMyepjo/qelU0OhrZ7GOLlyQ+Op
trT7oQP4jwLkghSpwhvDpFiWVXzWYj1fiKzo7kbVeYxwrJ/l5BqvtJ7gYbWMPyVt+qiO9rQzMyQc
RMmgwpq2U6U/dk126eakG1v2jVtvOEeuKrysC46Dn9owenAiZdurxV1TK8He1sul25helneXWgww
KR0vhzG6NFtwmGM9Z1SGX4tSHnDLEGBn9Zdu1BuLItJ3ZrFGF7cguh6e2s2MIUEhI5OHSscnzZ+4
mWMZFlLrlqmJrkEKgNNJrNO7N/1FIZpm21lu7vm9QZ9aObeyot8W0u6gkbSrvohR2FjnxLVN5BSE
+DjSlDpK+rWms7yUelMuwlrd1NYUeqJrj6PjbtUYfYgKinUT5mhkImRkac54KdIOQQKIa9dfgFFG
8JdoyjjTsqAnDoWTEISWSElJiad0L7PSXFoxeTnk7Z33QQgyyl6CdycR1ERxk6qC9LEQQXuAiobY
BYxraYINPbWbxosimXkYD5hskYs8KyM9TtpPKLPAnEdy3TYIXFTMv+gKr3rbajxbo5tWGeQyx5Vn
VvF1ruERCnlySml8EkTnVFlar9jHO+eVou1Sp7go4+Gxy4bPYdN8KSsHCHA/+svJsrAHxG2MpR0j
RhJLzJuyWHaUfkiJmJPlSOONwuzKb0zDS7phi/y3WGO2JNBitPpFwq5Kj2LQ5c43nsdZUZYHExd0
YqkboaVIf9AQAe1BsJMaWIjzR1iHZ1LrL4pJJ/1H5nu/kecqkel6BsktxT/qdM6XuAl2bhiQ9KkT
9uA0t30T3ZSt8ome9U7Ni30LiaawrF1CWrOi5o95k2KnpGCHX/XcNOozoy0u2i6RFDqgB2fdZvDJ
/yATIp/6bekWcAroDowmauJwH5jonurROCvhXvWNelRDM123U43HQt73Nh6NxpywkchD2ZLnME72
HhjztYjKsyTqtmaCZRvAFxvhDvyWWl8EpY2iqUPtONoL9JM3TdHcYQE484f4og3NZRiM17magoLj
pU/SEMxxdAeWYiOCgjiWyNmR+7ixun5ONpY4eAHV4q+7MhFgobu9ypQOUoFawYLGjeyq98BtU89R
03Tp6u11Hwpcs9AGYbvB5J6ye5TVW7vFm0BJVae05bWoFDFxP06Ou+mVfiVdbClR95DX0AmE+m1q
gpbkVbxWjX8fqfT5FvZElsS1zgrmpQ6wAKougm/fYBh7wkWhEFrpmRu05yYsiUG2cqEQuBKG4cHs
0jM/GLGVF8FFT7zGKnLzL10kgfnU6aWiupuqcC9riGye0w/rrFK1FUfAzxF78gEso5Eol5of30zz
IzQc8aUka7toAg5r/ZkWKHeD2h0M+NoquzMM4gSMjv2TrmD7isoAhVuF40jyLGpNrPM2iDaVQ4nI
MC5GF7ufjOptUsSbJC97qMzaZ+rl+6rpFmAtlqJRrroIKrJu3toBMOJo+oK3/GaC93yei6rcqYF/
XWb5hZKr/sKv0pU5iUettDa27i9MoxfbWAIi7AGBb2fAta4HLwmOGKTvhXo24lnXNCxCmlaKNUEy
G7sSpHCnYenplNAWVqBum4yzTR/dVFgbxza49etmmytY+Ya5rExtjGu+Ja3+TlZhtxvMYzLzBNTO
02OLvJlswPVeHHoZ3EbqBKHa6rYKXCw5cVJorKsp1bZ14HJr2E9XdQ6XYbzqWv0mSQuHiASidJy6
ByCg9VelYV00Kev9Km0UPV21fRV9Flkk+fhb9pmeczDNnLRbhxVVwQoFbeR0vJ14MpFKL6yaSxrH
cotBZmMHuXuEZemg8uzy1aREIOw6rPBB1wGXbrMvHckT8LrjNSsMQlq6FctSTwnYCDxRyK0fEqM5
zAkxRed2+zgdOCQr47e8hunNW7xIRmhkRlzjFo4GZyXS9K4DwYJD0Zph0E6+1kKQ5GSWWACxsuAc
XWZ5yCtN3seaTV6DmGpl3Tq9uGr6HCq9MyGQ7lOTYOYOONOq7KeUJoVyjgZ7T9n/qDvJ2hzila1P
n7PKvw6q+qytMC7bRu7pKeHnZL3c+z0VekRYq1prQEklA7EuPtFqUn7pYlLcEufB9I2LrkcQXEZL
wI9r6YNTNppb1IDj0rHDJ76sn1Wj3qJgP6hiePFj44xQUwEPFb1YhMupUYz7chJndpRdgK81cARl
YCYQopWo6FqWaKwWiBhr/xBj7EzJSKGqHS3gdOzKwDoXQ7TVahCbSbnLXJhbhZosIxtItRUbV26f
3UiCn6BGgPDL89scbhpWzOSMEu9OVZULF6ceW6GNPlQ76bsbJQl3gV2dkZh8R1OIkAxtXxustIYD
I7R8xgi4ipPgavDZKYyIGic/XNW4/0QlXzKSjZQcgjyTboAB27rps2Wo4ILcfFeo0XVNfpalA902
8fMaGfGvg3rTzHhsSZqHB/B2MdoBYSr92u+CpevHpPi5DRn02jZr9Xv61F4aa8MaGjxmVkpCPvMR
LmrF1z25p93jwd3g4FeDIk/oPLVBCoow/kxI3sZwpqPaQc9NpHY79traiMu7At8zml16IkoXffXr
ovMGCP4rGRqXvVAv/cB4pONjreiJrkwySGIintxIdSk3QQ5OppdyFJeyhFLA910SCsZkCYpe4KTF
0RuOpbbyR8s5FFpBPZt+QIr1JZTqVWoq5wDN54RbY900qNl9EWqLukHZFo7Wg+iRjLt8aRAADpj3
HXS7tH2g3F+VivUAF8lfl1F1r6LF5FjVrpOmIyGt4aodX9u686enQl3cFW64DWoaO6JMLkoE3kmg
kN5ErlGpBdVSR/m7rOoMZ9wAknwk+cvkX2MyLrWuugmiodyQP7jDIwlHRbbQXudVW5j3g8aLFqtw
TSjxoG0czUstiS6TPvHM2Ax3djg15yXCThKTjDtClIJ9X/tXbpM+INY3t/PrDuoWGU3Oao5AwHhw
Qgkr3rzCNx2du0YOqb/cBaV6qxMOPBVCRS1MTpdaLFVQNFWgEopi1otAZN+IK4NrYYBjMpxbCCb7
CEdjgv25S3siC3V5P2rVtTuQ35OX9mWsBZeZHa9T2xzP8iH+XKXugzkY14jnijNhxPmqDaxirUvz
YcrcnTtDeGI1wnPa8YuVSlsXWiSXZW52W9KucHa8spwCc+Y6DVqsc4yowUqtgBWbwJ8Sw1JW+nco
1JsT3/F7neNt3ffkHD+zHizXAoXHGo8/5xTCoEeqOuh6Hh3ikr59ftFMw8I1bz4e5OQk/+cgEJYB
xKH2tU+qRokP31ppmoiwsJ2SX6ikdyrmrexvPx7mpLLyfRgq2IIi/mzwPSl8+DTKOQWobNz1b33x
STF+ox995/dj7iN4xZyFIeL0XjXuaBWFlaWHvGeibR3/6R///TQgdO4QN2q2Rf18mKURjSFdVNnB
4dwhjsL9TTXxpKj2y/05OSyDLdbAFXB/SHZWMi/R1rVNQXMxvKTx8uNLeWeomZY6q0MEOgP35FGk
Dv5okGbJQY23iHmluigxjpseyzAl04/HOqlJzpf102OZp/ibgpqqRVlnW2l6KA0PvzFoX16tmfzS
rT8e6L2Levv8Ty4qt2MXDez3gaAAUHkewjXryLwUl7+Za++8l3jYEBHPqFlD12dF1JuLMgSlaBbe
/NAYaz996oaV8J8/vpz3pvObIU6n29QI9kpCzQ+58xT7D6by35jOLtopnK+o3cRr7ebNJcRVKqRJ
nuMh5guIYT0dY+/jK3jnJuEbVC2D6s8MkaEC9vYm5UrO/t7SisNkP/X2ZTsTLuRvvl3vPXQmMd5d
05glsKfl4TAr89GZsgP2CIxaM2FCXBEfUoAGMX4zk98ZC7mMjhKVsj9a0ZPvZOhDcURIkB/C+Uy9
Aq0bwsKuYAhs9OvXW/e/XfPcvBSzFKn5ucb5/3XJk7fyX5c8L59KZvEvZVJ+5ke5Uyf4VpvBREh1
TVTBb8qdOjEZFiInVIGzYJx38q9yp/MHjnCyF6mSUoa05pTxvyqezh8kSsyJuIaY1Vj/TFGFFIs5
/Xe7Ym4FU1PlK4TJEraO+kpTf/NW1VWTmQKA7qEsG6wibDEWtUtQdinGT1pcbfzQeTZ7YF5+2X5R
W/8xsuhdqYN51gg/hcyhfHK7aqmK8UJMGDgEdjbdx62pBtHBitL16Dvk7Qaax/FcR6SjbpLBvegN
cV5kxcYJ3G0b6xwocpOW5P9l78ya4zaSNfqLoMBewGuj92ZzJ0XyBUGJJPYdKCy//p6iR7al8Tiu
3/0wEROeIWVJ7KqszJPno4/aRsAuvTveuU41EJeFHdAtCdr2IdGlHZ2FC82hEQm08hpnM5vIFRqN
/SuS63RnFEFteo+itq4p/K8cn6WZoS0lSz4yf8zceRdOGT5qx7/J04jpbBaUeOTXs8PWaZRXOrvr
9vtYRel5WYb6tez5dWZH7hatVVk7UaC5lP9apm+JM6flk48xzZBEhxKK6uOgR9nGrMcS9AO8JIub
IIE38eFOCMpb9wpEqWW3Gz7ZlApj+6RwFaET2oBSsVWWDcWzNF28bhXhQhTFydJzmBfgl1BRMF6r
10GY0VFUhIw/uneNYmZmRc/QOeZ34UPUeKA1pWJsqoW4U0dxN7TnLl1AHEsROR1oDmPP+1SxOolm
7W3gHaoUIgRZRPIU19MpwsdUrI8G9FMp+qdRHBC9UPbIJufAG25a21F9awANsQcrglhxRNECUVQp
tojupU6gJ7xRDXiU8BzYLIpFakK8IQ54UmvwQJONAXin2CVfUUwLOFOsuCawvXit9Ya+laPuZxz3
ZsHCbFge3EFzCFfSx2DUvOxQe856EjYjZAJpiNAU6a6vnLzZt11UhXfe6GlHw43fIq0iyxlJ5HGp
4yQgH/zQNtE97VoMML25t7W6Dzj/N108OBuJodOTZXUqvfbcdcVHNRHjaC/jSZ/kU93RHkK48ziY
Tco727cCGdZPEqXmRnTLxVBOF0Wh20HrpTdL70mSlsiYHp0zwhk+EtpjPxoEOBEUkpq8XNwICqqL
dqQhbZ0E9RAbycSGZd0OK9RF7rIhrvv9C1jFFdmuD/5EF7xwwkNkNlh4ZtrCqdEkmzatum0Sl3j0
s3McaYy5onij+/65zP19zwUdjEJ7S8LkAYYB8EuL4lVq6m9WUj/KzFvjkEWowM7+q2ydjWZoz9Km
rTH2TMgnZCUGWcc3bma/AM6fOkO8iaU78fS+XAzMLySIkUfqXE1VZZ7LttjlOv2tWrgna2oDRP86
Pq34lghPAouT+cUU95m2sWfvVCfEq0kGmGGM/bLESJ5IAZ2Y5TeszGvIedrnWutvUxJcMOos17HD
SrZr9WtrDNdFQhS25u4XtT/fh7S69ZbdL9Q0qzz2z6hIWaTNrjBLBIPN37rJZpwUU7TLiuXFd2W/
7YsWaG9PKw2+TktxAMrmYhiXg18n31iaJrTAMNaI5/1VnaR3fe5884mjZrZLblnZiMdI68vAKEI+
xBUDRSvuN0XDWbjyl3zadaU5F79tG/174yoo4X/fuHckkLBnMPz3rau+7vdbF3kKjx4V/8E9qrDj
P4aM1hdwLOJhQJ8s3qj8Tz+8KlzVOpAyhDGPPUpNarP/3Lq2jnKFGxomGjrrM17zx7D1P49i5rT/
E5QxPiuvn25dG9sFo041AHX5V+F+/3OlaYQDerLWra6nVidxVtqKz7UZctjjPhbtgHx1pmOkj/oV
vwn9pJNjgcGEZhojGr16StixPLNHQ6aOZTUs/rj23pmG7nLMwvoNOLrYiVwmF3EuOKgiA8Np7WvM
1gpS0a+7tuivmjS1n4GN+60RQuIHRMvSmizD8jKLav/NA3ycpxyy2MAXbEYxSn3PLR56b3ae2dsn
G9Z0hnPfxYLIzJIIKDFo2dZw5urRGnRGd1ZnvlfOkD+hyiv3kUPmJHKE7lVS87DE7CUb0frjTqQj
Lc9Y1jfQjRv4zn4bJVG9lqNhyyu2R235neZ9bJ8M3rPztMXMO+zwDCNssSNf6e4/lS5N2JXtlYjJ
TxcR2VYoDnxijz+FMAupvGK89HwN3wsCvniyGUbSFYMGkfWIvpSOUHJytZLhWTIAGzObaYqNOfpc
3uH07I659TprwqlAfd1yG8Wuc5wHIhn7sVpeoYUAI0q6HydKiniVRIa/C2sZfSOoNQn0cllewy5e
3mkrP7Vk3pRRctREhWLAADsfnZb99nqMDDaNB+hsrLtkAPfzRVZNJAv0PvlcrEVjdE7GKNl2BaFY
mAALqoms+WqLJD/kvvFgkVi8J/sCVYA+ypVDTbB308698+K6OPRa7z/UeuNeTn6jrwuz8vUV5RPr
ffT5iGPP/W+aYLHWynu2yKfiKvUMApd6SSigpnXTZsybpl8zHCPoU6u6w1yH5a1reHTPie1+iRZD
rBdfpA8TOecXIrXTc0di+rOBPTEAzEW3m2EGW4ZJO/HDS0ElyvEqjdrwiRfR+FASSrIZqim50+j0
Xccy5y7gqUfekm3LbsWWNCGobDz2m25yOnKesPgEEVmee1OSR+xKnHXWUUyjdUPHnoYjfh/jva7q
ZdskAN4+U98VQYX/WYz59yw2OR3/91l8BQsbvf/3Say+6sdJTBYg3jJTRyHHVslPucQGTxm18ueY
HIEOuw2/n8SW9QWgw0VvhRsIGOPPWYDWF8tzXf7DtyVjkAfVLyfv357ESqP10/uHd5S6Bnx18rNQ
6f3yHm9czsZR6OG59Y14Yy155gfG4IcnbWr0Uyk6YuU1fR5e7DQ+ElP7DOS4BLVIv1uSvCBt5M2x
xxFKOHhj6elBr5t6M6UJNQTq0OoxaqU7g0LqXaQG+zxd0sQlsLW22ldSV5P3ftDDdmuWDilhHQVa
yYykZPK7jTGNkgKbk/kU5K0tt00Ldn7EKulTGSL4+0zoy5KatL5UBfdNbfuhEeuyclSon5OEjCTJ
+Qs9g0GacjdqFnU4ghWGIHPEIUFCYM4MryYxkCEuL57xxrCWi5hEQVbiLuwqR9MfHybCAwLHbdms
4BkSVJ0c1mZnxxe17e70WrtOJWRBHXqnXsUYuirQMKJHfVF2FXF42phtZhfdd1tr6Vo0w9XUd1da
NuFBYZi+mvlQL1U1bmI8qv6KYldD5WnN7Udm9XdJrt/xwC4ceud9ea012XK2bDyJTb2Najd+qgjY
EYjzQ3TUrPpj2beq+INiOg3MmgGOWQHi+8Pan63iTnOdcVt7zItEg70DHmyHkJFVGYROE7KiVUiC
69o0yvhKRmNIWFI6rAib2PaTVt266Kh9F6GDPuNC94dyVZu8axPtjHp7S651QlR8bT90Prl7MZOx
ds69LY/fBDynCEhKbFdLLepnJxx45BoaD0dujagLuhlA6E8fxf9PJ54PnNo45bFGT4smw88lBslE
o56Be16aelxvrXw0X8ky8oJxzug0fv5a/55/CPT+5vy7TeQ788S3vzgC1Rf+fgTaX1Svj5BxnWJP
0Ws/gDcVlCroAGHs44DE5/nHCYj+jMOSY47ODAtvP5+AlLTEefFjr7yAVLD/4AT85EP/XIpC1Lkc
wJCjRMezWfdrk9AsGdoNFgrhqmlqcaHlSFtyhjZ6R7QI09EM0N20MkiJ0ADyGIdla6CjFQzgEodO
g55fDYqvHotJOzhOaZ2HTJvXo9mVpyL0i7vZ4pYfJru+KJO++t5H/Xg0izG7sw1KP5utpDLoJ/Ee
mgmNBpu9NvLwVIYWYrSXGNbcZyCKvbMd2f3yc/KzDSKq89L5JvnMfWhWstyanQvQ68dlhWmMMBHd
Izy+dpv1ZKbmytFTwKlYZNdFMYT3JiXELdkTeXynp04WdbtcGM1yoC8QMuTmTrKmtUG8iskvCIyO
Q0hyk5EsOY9eNb+i95E3bWt4Iw2W1rRR46NiukTik24KJ2nSB40sadgCmQkRTKYLND62Ft5QR7Kc
jVfUOtiy6DcLvds1cY0cjfPR62tSy9Q9oMvWd05SXRHENnJbFOriYGuEO0Rr1H0yJ6Vl7Vg3Sg8z
BIu/rhb7djE6KaiEuJYq7qc+zeNjTcjacnZg6Q5e4yXyliwwYzuzrLdYQcwP5nguSIQptd9On39P
BGWv/98VkdoQWpFH2v/VehBf+eNIMPUvfN5wktAUVp98TosfZwLeT5dHpsm6OLNUwNY/zgQgWFSJ
pm6invoZg3W/QMdSCTsuIx7k6v/Mji5+HoEpDNZ0DJ0zQZVEJvrDn+8Oookch3aQdimcglzi6iCT
cFyVucu8WkF9mZj3msL8Ung/XYF/UiGAIyzgqKDAHDpwUZgg12cagPtWLFUAETYKJ0zgCjkrHis4
Q54j55lPA7eud1ErFNGGSQxhE2lj7goFK0Z9fsuHuIHqsL5zxQYM5zpClPUbX6GOowfo0qYtQZ3i
Y7LdaZuO9V1hpg/CINpoyRY8LBohS4XfPNkDQa6JUa+LDK9yGtWAXpW2LRskyIbW7saMJxYkDQjf
UBzx+Y3JmkYTZBwAjrYOJ/ulzqU236Sj9OQWO9dYABN1fXU/NKleo9Q1bFgRdOoUNP62NugnyW7m
Jcm6MECDtZFOCQqJrWFI5x7aAH155SGY1NO3XnAG6japywkvFKu/zOWD2RH4Gs4jGSn+ABgyV3di
IuHDKMyXFKRqNfnwJcAqMugqeXLDrjs2evkNTjZt12UeV/rGmSWJJG5hmzdNFvFOjYVDZEV2r5PI
kgm2ZuD59fWk20+lXT0WiaioCafqAvR/DjRBBInwr1gLPZR5ddkZ3a4A28x9cZyc8ImrDYd9Zs0H
4pa2Q2nrB2NA6x3z+4ZQmkBSXWgIPefA4d/nqxf1yVEmVGY1f3w8eENNYbrFFdOq+1yhYITAo7qC
DrM/ObFeIWPZJz3WfpJkxuidF3O+0TtE4LrbNUBKgGdtrd9FkGihQtIW9IMNjJoGRdfArDmpOIBp
7zI57GMFtUnott4rriYflnsy0ejBv9kFf/PcMnHKkrZdpF/JzbkXVbwbAefQuEcrH5RuAqljt/qi
BbFrQe2S3tgbir3jwK0DV/F4C2DeJEcIPQNWb+Ll6yp6j7/ydDUM6XsK2Cdb/t20OXI2lqL+XPA/
pgE7YkhfzLbYhIoP7If8vAAMFoocnBVDaGn2XTKM30qt2xTdfTsYRuA3/k0EfFgDIZb1cgT9ftT9
dMQRBigNrogNndVtAEaaay+FIho14cJT0xuygB1jRT0ain9kW/rVD41qo5OxubjL5QgqSa/mqwk6
WXXaugKlND3nm1XroOIKsoziKzo1X5t2vGDB5jFXNKZuzttG8ZkJKGYIsJkW5SWdHU+Ff36Tiumk
b3vhK8qTwcwpz/m/gX+OigMd2+LgAYZKpUxTpOikmFGh6NHsEyQFdZkD9xMvjeEqTJJNo+cU+LR0
qNZbhaNq3R7W9pkI6u3oyw0zi11qeS89GGsx4O2vAFstYwh6QNc2qp9mRb6aBVj8aJMaCRTrGQ1q
McXJtq31lADOjojQckXSVp59Y4HWMli7MRVrOy/y7Cj6dgLDDcvWO/g0dGIA3cTLvqZmdsF2+YPA
WoiaWL/tQXrNOj/HIL6ZPnwlTOeuVexvAQRsF3zU9JZYd/NqUpRwNFN1kdm7z02SLQGJ+SE5Voos
jkGMu5D5iGKOh0E+FWaD6hV+SYIl0986aT5RlBa8cjNqB0J29zogc982hwKwecRl6C/ZxYT0uM+X
m14R0KJozhZI9FTzI+sVTBmApUOg6Qwlq904hx6YurPrYwxcbVjxowS2doCuqX/zFWaqrXSgrcCy
M/BsQ3HaC8B2aLYXMwA3TgM+YSDdcZWdSB5+mUC9fRUqQYN8ZbD+HKTg4LZMtiV4ODsKp0R4H/++
VigiMHPQRv7b2gQfSNAOy393bNRX/l6b4ADxSFXk7QHJ9bOU2fxiIfgBG1Dvj8+x9I+JtWDf2VVZ
P/+xktMC+jGxdr+wm+qg6zAw4ACG/aPihGWsXzo27EDT/iF/iTcVOpBfJ9Y+Yde0GDy42ympeIqA
5rZmbq7zqfyaULxvTAXwdmaLcDQTNC2c/tA4xoesiG+oimI8AkfSCY+zdN3rwz5CpIgKw1lbbcVl
Xg7cYnDEqUi/jWHLla4QY1nyWcgVdiwUgKzVs38dN8WDowDlZrQQDMMsAyo+RFFPjnHyFb72vmDd
6kqoG65Sd92gbj2dEMBjwUUYYmjAu+jfeKQprKbBfKcEGbYRDZP7svH3LjdgWk/zVp9KBIvTbWOM
jNbwlhHBeCmZRpKluHP0Lg2kw7iRlnzccfe0c3XuHJToUW/tMhi2IIy673NCoFoVRXIjlrkNrCTc
RUlzZ/vzlm44fQ3Qxa5tk4PMxYthxCIYp/FSKijTW1gCgt8MhgkctEqM9ZQN8Tpvs7XvLLch44W9
oxn80QyJPOUJt3LhRJeMzo6+l6nbOd8svfaWpjlq4aZhIFElu3EZk6AJBZpcmaG+gM1mDx3fbu5d
W1GJVaE3glyosLbeuk1rcVt1b1gDPwTfbkAxz7diEyY2uteYqiPokNSxTNNz6VnmimQ9YwXis6py
yQ5GbrMHM3d7r/JvWU6urpvCODdTOm30xqjZHqAVD21h7niR3dsLe0KZ9Nee5jxA6/jHRqZ7onGS
tduEl3rHqjlz5C2M9Kmr+usxrNZ9ru/gmbfVRKvJcJKvvt3Zu3KidxcSYY0nttkuiUBYOj+ZVbG1
S/lijzOgtCVvJeqOlbGM7/zK02ay8ncpGuOqrCguG2O+TifPIt0wPvuDFl5Iq/3Gwhj2GYzghyQq
3ZdYK8SmEYMPEIEjc6MvyKyckLpY1peEQ+AqjqruZuoqk+yKGcSAPyCe7HSP3rzaG4+SxB4vFNu2
nva9FW5nB3m3FbbPvs21Zs8lays1vwTTzhpRbzsS+jE4/BF7UQj7Fy8PVl0ZK9ucx8CqxZ3XuKfe
mN/zuMnW5JjdIqyOTu4iN0shL02WrAyfaU/m4u7ElfeWLrV/6Cvxxi4rDTyPAs2RwHeV0d30DUEs
YXsOM0ANQRPgWAl8noyFARIIFOXpy0+4RwU/zXwF+mX2iKN5mxrhR16H1znU+touev1KxgND44G1
33DJT41Z6ptFd5t9NCxrjVUyQmeOY2p26yQ0n9N6UaE6fX8R25p+ttisf9f1MLuvdLve59IjVdDI
YybO/95Ov91OvGT/5nZK3pFf/8XNxFf9fjPpDGgNeFb1MiUS7+dXM3IMk24+dJTJW/iPV7P/RXBl
MWz9z8SXb/jjZvK/8E1M1SZVDJQisP5BJ43Mgl9vJp7zAraPi4nsAswaPz+bFysuYrNKmNl6Or6F
YmHDwHipojc6WIujVOpuecF+i+qi+ebFWPPPW1NcuUZ5NdDPJpbzNh+GF3YbA8LE4Aay+KnEJkxf
7tYqvXPt07nuxLPh2ri3JxpIIjv1jgDzh75EYjg8kMt1D0zFo9fX86BhNWUN4P5MH2lNysjJmWlR
Gc3rwuahkS5Ppq2RSzz1x9gpN6RYiiBDs9QNBGWm5fKEzWo/0skObMR4k4ifKeQfFq+68FNe0y6n
SeaYH9pYUv8PjxmvUhpmzrb1te0iluvEz8SK39mu9llTGX2QmqRHCRUqO3g4HnpykOgVegRWknnQ
aNu2k95qLrzHZjSnlXqgHBCDGygtES3pOQGSo7Zn+437ImnD/aCRfWtPB9OQTFTc27EeboFh2ofc
mV/zmuvBbbwjpp2veuGcGJwXQa1PZxZUsOtHQts4abnvpZbSm8edaXcH169ISg0Z7hpvxO6+ROHw
MHsOVh+bue7ijS+Z3jGkaKwztP67JbgLiLB4+LQ2jbotA80Otz1y9dU8Spfbft6n3bzzvHFTM5Af
Ov7Moii3eYBHKeQRi5SyvSQwhelTKNJq1zuJM52IcpihAWq9P1Qe28e98NmBMHvGKE2lt2JDrzSU
m66zev81l814SHvH7Nduhj97NVnjzNot1AyZXTaiqLhp2E32efw03A6V9b2M22aFi8pcWzb4vGlW
/LeRGNml++6Ggx34WfOhirDVTPDqXBbLShizZLshuxVLPZ+EJS612PQQKdV8D3ZjKy1+yif7ufQm
/NWTZAczi/GksJDEw+EtrbsPc57el76dV1LkjxFw5IrhHJ4r0o8yYrzbUks26dhbG5DE68m0orXl
Z3s7bp+9zOm3vH1zuGXvee5NEuhs4p1dMb51nqmaU+PET04PZJB0XqCnfnTOI7K6gBXWZYTAaUrf
bLReTsHPC7nA1GsnYq12aVXfSCslRzWbHmo7qVcuqBY5yCtAZGos3f0a0pnaOfwTzxi/Rktzk4R5
MNvkEozdc0kUAh0aDae3EEuy5ltNK11kpLrFGhdIvtK0uGOCN/FIG/kbx5x+O8xVdMji+LS45eXS
1oi06w8GAbwwbYkup5mz9vu/98pv9wpTk7+5V6r89a/CKm2+6vd7hRcPi/8Gsxj913sF66HSFwob
Klx8PoZ+vHi8L+oKckB4eISw8MKV8+Ne8b4QvSTUXWXTx1WOg39wryBe/PVegdHlkhJkMIEKoUf4
+V6xvSJt7cGcr7w+aq9FOhe3NDHx+uW2eZzHLHueDRLYPOQ7Z2rKcCUXGVOFyuVR+GN/F+tVTog5
29Qcb+FGaH27KYlLwhunX+YKkZOWEV44jt/eWFPP10tGWesBcJHDgpJQ8/zjZNJJ7fq437NqlX1P
aAqQhQ59R6ghyYh1N70UcRwdq0YttWt9uqa+orXIS42V8fnRN9k/VhRNWIjjADUCyKONp5IYxE1b
kXExkYgCsKhfZexj81bKsLe5TbaKE2dPJU8D69Nkpn9azTz8ZvVsjDaSJTJ6lyX64KnwHCsd2hJK
Gk/1MQV+ZYMOZZq5+GPQc3tfR0b0pONVSwar3dp1eeMo5Rr8rrbrlYZtUUK2OEbNllv5yVCytoQQ
5rUex/Yuy0t7I5XUzTW4pxIY1mNT4FYMK3mztGCbdY72EDx1WWmOw3KiR+M78i9TCzxIzvzpaEoo
h9IOgbuSzHXk/qxnJZ5rMNANZvrCVT+RwkEaDu/tdGNAFcdRs/QqNDPeaCPQca7w4xAOObU1tEOA
yROEcvGJKitomTWM9DzBMWsZQDOuaxKVFeRM5haOhOjOtcRNIei5ZNO0M+GiTc5cn0VsYGle0lcQ
udcVFLUedQK1XnKo4auZjjtM5JxNqNBrV0HYucKxu84hDaIsTh2ktqOQ7c4d7ySPa57gMgsyBXaD
wl4JSO8S4ltCfqcQ4DUkeKyQ8EXB4W7oXnPTbBeo8WJJyEeCI/fRT1A4QZbP9bqGNKfGg1GDPeeK
4n+BRi/M9pul8HQfTp1g010Ft94ogH0KcR9WNVA7UazQl03GIy8wLXf4bnsqbNvCGbHF1njhj3Bp
vOuT7MJgVEce4JxXx9pH3CGMdrqIWBM9/HsY/3YYMyr6u8OYN+tfFfl81e+HMT0mdnxgNj2F9/xi
ziM9mr6UMsr9Nkn/4zBWwyrwTGEwa/9FQatT3fO91K4FM/Z/BAzZn0DQH/NyOllMYIRvmx6rFyxo
mL/My9n6z+sMGcgVqd38ADnqZ4mx+vC9TYeNtCH1dIUB42IrgbL9x7BnqzRUsLDjiG99kd8JhREz
5VsPPYtsIYTxoOmHDuKYuVAUtApCThoC1xWZTELHy6hY5U5Ry0XTHBoJOLckV1avHdhyPnewQEYL
7zwo8lmSvbkSnbcvgaIX0EYBJN2PbhVUYNOZ4qfzZLw1rf7ZV2S1k5U3c6YZfFS0e03R16HisBuA
7Ch0T3n6lENqjwrZTp30tlMQN0sjsM7OiUwN+mRLuZsV8K3X9lWsEHAdFnyBCZflcPK68K32x1OC
zslU8LitMPKoDM+jAstpdj3zsN5QwhmvNK6Y50GhL137mEClR6TMUNdbTcA63sMEuT4ohL2CZc8y
7zwruN3g9xBCuydL/dop/F2GWbJhClkEsYLjSyj5UOHyrVc8cDdedcP4UiigPoOsn7xm13+i9th9
V5LRuAeFT/1/lZlg+Q58/qBA/XnxH1PX3w4Q/KOMd7pC+jvYfrLl7UBC+3tQ/6PC/0f2AJKYtCQI
Uop1P3ts1LJAlvVPDtsDo4IBerVPwF4BoqTogghiJFRU6SW7B2M3EAHMNkIXUnx27CeY7CnoamHB
E71/HN2h3gCWvZWRuIvCeTdkbBQXFcGplWmsBkt7B7RQZeXWTfuv/LN9WdEUtKWHu9YkYiFOe+IJ
0vzCn4p7pLZGBuzBor9LcbOOrTBei6H74I24T0WLVKSJg35oIzaMs7MxNJu6wgCsZ1KupNbdGbLd
gVA827Oxw+YR4WR2Tl3KRLivKntdlgXCw5hpEIpbu1/ygMt5M8cCsILwRh6bLY9aBD5pEfYbc7Z2
ZlSdMsdmvMjoIKMgsbPxmMZ9GsTtfNn6/Nnb4amnqbvSWA2Yvw9R1X6Ny57c08+0PbcieM+syaiL
Vp4K5NN5Nd8CvFHDG1OyJb95m2kxAX5m+EHC7XvoEGcQV+yrq4gYUU6Pndt+6zNiIuuquuHe2hHr
cmPQePWwTwSWizh2EkFqCbkGTyPp0ukvDSu3+c3VtOFoTFlTim5oIqyJoNWVn4uF7K2O12dSrPtq
2lru/Dq55rqZphcvpMry5wf+omMy3bTDnGgXZRPv4kw7lH6FrZetmhRXC7HOaTFvM498kcmreZMu
Rws5gtG069iZo7VZTFtZwL1aCfxt0mRBn5krfxK7kTWgoi74C3nslYtqGpSmIpAMmNBGEmlYivVc
dOs48Z+KlDCbro0vZA3ItjSJv50KdyCHutxDDl/y5PzejTYfAkCUSdSbjALJquezPaQHOBcchqbe
nsxx5O/WWYUacsyu/Y5i5opO5rpL7Xs9iViNmNuLJRMuic/lxs5YeNE9sj8nw98amX7nDOF741JP
+RJ42Y+8oBNyT0diCrTG2dtWcR3qizzFRJqnCU158JYgtofzKMrThPthVWQ5GmTvGRfDqme9gzYx
3XF954vhOnHlV92sDyGpUsA7YpOlOeffVKIVd6tbayCKO1laBD285KN0n3MA1om8DN3lHuP2qjH7
m9Acjm0jV4x8SXzjgb4s5tZ1242FSqmCk1wTfL5wCltb3+lPYOBbD5w98GkdNrX+LQ87c0XI3ouV
gADA01sHQ0TXRkn4ThTdGIt3QcCpDBZUJ3ihx6PuZoEgACTI6og+jpb4Bytyhh0Ou2tk24SMz9dE
7nxY5rItixo7DaR062nbJGlKtqVIB+zr6154D1MyxEHhOEMwFQ45hqmZP2UEgK2jWn6k3XDChvGY
DyVtheoi9hksD21yO8BMmkn74UQz4U5GfRlP07ZJl4fMIPURZOSRE3jTlc5Nq4Wsoun+s+a2X6dm
OuE8rRVVIegP0zQw4pOJGCSelLo8Otl9zzFuzwdSMiijjRCBw97tuuxR5vCja0Mrja22EKjlIWrI
9eRgOmqvbCyW9VTFb7a0hvUsq2ndtcarvyxXRltYG8qFaB2ZBkppAn9Cq/kQTDkDv8/OfcJ+0TBP
5ZqJxtcqNa+rwrwlf3bEUmGzid19p9/IgMg/4va46tzpsJicX61gHFs65cM0a4/1VN3nCb2IsbTW
NdrolTePVzJjkm4v3t1CPOY6H9Lhpu3Ji3aYZuxtNdZ3QwRb5NYjnDj9qZ76C+rzMzbpj/JE7XNC
BQrddJWMX4Xd/PxW7BrPsGff8q+Mu2L15GzldROQ2xn4r/e33RkTxaYK+n1y4exIGNxX2/joRPv0
HO/+LXA/C1yV8vW/C9z79/j1rwpc9VW/F7gGBa5JYIKC2LEaMCn9nf2yWBamB6HmmvSyVYP5x26S
Tho0nWrPphFAfpFF7/tHt4EGN9Jo2g3+Z7Phn/GgxO782m2wsS+qrjiBDZD2gtHwn3eTypyfK4xF
3pX046xbpxYwlqPv07LUjkMebYzeBgfX5LwK5XCYxpnasTDdjSH9Y+8QHVfTpN9G6XzvaVWzG9KC
3AEjyckOKDbpUH+PzInkgaUfpnAHGjZoa0sbHjsPhHEuyOlyWzdk6DK7h3QSjNxMvIpCtmceAAN7
o2YMUGN868PuQw+Hfs+67SUyH2W6q5DsJxM9YGO6EfgUbxo6d0GUjTh2c2IGWjaYVMYtbb2BwLvZ
rwm45d/KmzJosEHbG6R5blJmS0j7kjejNKdh3Uk6931J8qfbcVNG9QKXY5GqmoWlcRWabA5PQ8k/
g23ZCyM3VjW//JLkRAUKHYuQnwAEUe0ospSHqjXSOkahVMV0/cx93zJZ5on62ucWouiIpIWql85K
hsQeIp/I3OokNZ2by7UAagrSG5YY0rwdcPUOVGctYO5G97SHeulwMrb7GmDn4DTLNRKueU258tVq
xPeqrS4bjo5Va8RHw8MH0of3kYRDH8d2LTP/o63tgz74Z6cbmYZ2mkvShC12dV49pWN+dMvkeUr7
Lph97WOKPJYpe9Z6c/niENBSl6I5GDZ1alrC+ZQufywypxaw4ii+SNixWGVNlxAIUF17c/qY6aJY
jQU3KSDvtKHDNFLGluAiXffVld2z505BZZvVJosShHlREhPZ1TxWdIS3hZ47VEButO706R73TYD0
RlpBIvV+Uy7AcG6OlSmyh+u6g5TRxYgieuHlX/dP9CbeCgYO29Ay3mo2lRiAx/2xDE1KFc/aRqWQ
W3eywmBpkMZl/LjuBjQwyB/tAvuzgQaptq0DgaT+LqI3F1hexQeBPNc5xe+cdd+selSBXESMG2mX
rQe3+6DHQNivPhcBn/06qMss3ybozsiB9lcswrH0nfAZIS815wKKl3VoNAGbWOjDsI1G2CzXsTdd
WTLcm055TaFy5WbeQaMyGMxDUazD8ezzPTu7v6ubsWfcLQi+cL8Kv7jKyiYn9jmd12E67TKQMb1J
3ruyf/o/9s6rt3EszftfpbH3LDCHi11glZ3kXHb1DaGyVcw589O/v+PQ7bJVtdMjA6sXWM3FzJRt
ijw84Qn/YMW+TM+0RoAizJ15ZTnlNHPoD9chzewoP1PVZllJyS0Cf0dR4Z3WRJErRUUURSXWiNEz
bJB6s+jtTMoe39dYHY9RFvzmV8HaMCHjmXJnHYWFdao6yTqoEXCSNLycK5RJsygaRYs1oEGhYPDl
KcFREwanahOcKkn+LVb6AgZfRR9WcW91y7hrcOVUk0gnNs6cWR8qJsYlujHDrw4+i2fB1WnqpaeT
zCEoTKBIqbQz3bvR5f6KvKkEMo+th78jH8ANBtvYPIyO3LHcFqmmzzniQUs56oqq2YhcBtwah2Gd
trV/p7raZd2RVmhBM8BDq/RZ1KLJGhXyD1zMT/QgOA1835qA28LIGBk8OQm+jaZ247q899LNgIDW
sUTPR7kybAdeHLrhnpZeqlLfAQBAF9NpkNkD1lqktjtXK2DmfgOkTL1p/YpGiYQwXG4fB5QTJq6V
XMYoZPVWIB372MwFRp3O5Lo/Ngd7jhQeUn69akwRTomnZgoLJ9bhFo2yfzamHc1/al8zFBV/eKN7
U+TUAweFUEYL/HzZ++FjmRObZdBOZbsbZxRP1Wlq6vJJh2TXqrbzhdXRqx+L8XIAwDiXWgw6I8e7
7rVg3qjSynHzE8dJWsqs5TFUL4jSiu/RkkyGpUYeO43NzFi4yXCf0PFA731TVH1AodFv0HVs1zjN
3KpGezoCwBTcyrne6gvhP95m9gl26/TV3HqFKFAEt9AMJjRll4OlPIxKfmZ47Nm9o2GN4c8LpdwS
f53VPX3P3ptbAauzGtD/1pRvGTx/N6If2XfuHIjByqrZTb0aq18mAZbn7Nz5BIalPaNUgpbgYN3k
TXA26sY2qtkoA83EbDy2VixuXL3H4EwBKzDpK+e8RPhsqeodgXRZTexYR8SxQ6i2VaUJC+2yNMii
TWvMlvhobzg7y3kW+M1EQvZ2LlNUOrdtyQarCTClrMr7IFKujbSJpxS2b9Eb/BZGNKVK9gUK80yN
GCsbdhBlMar2d5qs/bLERoT7+16GBagIO3usQD5MnBCwQ+pr4xqMpoGyR3HBmUdFhp91uX9SI4I2
oS1JqC5lcydpHl1R75Wt4lHz0d8JHQDYkkt22bpnSk5qqGOvsnAyp515FJ4nbtiAu6rZwVzbWPsW
Lq15HqQTCcBW1nirAZ1/dBK+axL+O52UXg/Z6C8DKfwzsvIHoeJBKz1Z4liwJI7gHbjttWJgXV60
pOhYDB/ltc9RnOpgvAiN0BYZgYRKSnXujPrMw+w5EsboEPbPewuV/wrPdFkLCINxUbelFBgWvuod
9hFzqcDpHBDNJvLx9c496V4WduwlUFF28wqXdp2Cjx/ohjSNG98+kuvIKdZZHGcUEcpAptWLQ0w7
onzpFP6zxtb/8SgMAtjfxNFlAIliIGh+0jg/evzP/1Cew2/+7K9Amt6cblJNRD8NyMe7QJoisfFE
hRCi5a9RNKE3bBiLIjFUJ0Kun7Ag/DueJSjJgDD8h7o6xHEfomi2fMrNKrrlNrcisCJvdHXQvu3N
AnGdi1TJdf2sUht2pKEJACJMtKFTnUnf02YTa/YBJvefo1gBVC2udbEmNOv7AKB4nrNYSmQSC7F6
apvuR6Nba1msLEmsMZpzrDax7kjJ/YUq1iJo7rUkVmeLy+E0dLPzaqgfJbGCDad71MWa9mmFNGKV
Z3Zw0ot1j1DUmcRGUMqZMcvE3uDXZjurxX5hDeWjlFEyJeYUQryLMYmGpcwmI7HZ+F2tTKhQryyr
XqdjVFDrZFsyiu4b0iu3cT3E05CdSzPqe48q/tIRmxrKfua5h9LDHJGseoKxQDlX2AXpoWdLwCzt
xGaHRFL4PNMJXvxRvQZLX0xgxV72qnycyMZWr5OlVuI/rgcnujqgHYRwZ28DJHBqfttZJXJ539DA
ynoh5hx5OKGZ905IxwjRRl17qBznoVSr83IM7oysf4hotc5oPowzoA8XaOOowMm7VeIH0iSs8Y4Y
pcZbDFFwXQXaGgbZetQKV0gxIrClxhSMUQo+CpWqmBiK0E2R9QvJ6MCaiczBkEBVer1yEvqmtwyl
xlwUHjDwopExiOpvzQqhhY7ysGPVx3aGy5dM7JYPOoYcUYH2bp6qy6HuljYIxlkpKjg5BNNlZPkl
8r0wkM3WRditUZHdYauaWrhxlV731bUt1JqbC1NuzuUM0XlJcoplqadw01TANxEdUnqZk77uvAma
NNCF5fIokQxEW1QJtVKDYLiDXiJb8trnVfCb5fdQKq/M1rigN3DkhVTlTDVc6iGOJ7W+cpQ+nUSj
eVuHBQ0R7ytAyS2Zr0TJV83wfjEhQBSOv7Cb8T4NISF4an6MS+ad1GD9G1fdrcRePeVPAY8CeJ1r
bXQ9SCqcEtXM4dlkPxLi0mmQ5WcUPM4jHfB+PfTqxM660wbyxby3++zc6hJEm8LSBhcawEWJnBUs
A/RntLLf1G4ezuQqd8H+wqXRovCuiWZWHNwCPo2ZgYE1Z63NdL0lJqmtepli5D4xOuD9vaK6SPUh
yZx3ZzqaNLMkDLTZKEmXIEx9gJjFOLNUYt5UTWnT9iakZq2c9t5IQyLbRD0iDMy1ax1B7IHzCsiV
5JVXmVXNtaFHpd235jZ8HNm0fqAgRrXL0n+Uo/zNqZxTuYvX+TBcq5hPoe8k+XNzAHcyJMWV31Sb
WEdRPhiO7Gw81pG+nZZKL+OrroRE3kKVaPihVuWfntScdFl9GefSGRYBuNCleChG/ZnmtPgMynDf
oSupk7CJhPit307Luv6RSwlZdN8JyLW1CfAzpfcmo/wjRQhGEbIjM20e181AC9iQbFRy9Xt23QIS
OmFQG5sPtWKD4KKtOmNDPkFvtl96VdMs/LE9rqFfTdXSuzL9fkNdl5aCHsFaKCqkhDwwwZVerEzM
lQuaTdPa769ro6CMKcRDeoClRSSYIKlRsugyloRtnsUlvbCsdzm0UVXWG7efWpJ37br6eZY7146r
r7R+sAmS8TOk+Xvl5sBmPaVYeLUd35cIykNRak8l2VKnTSwWthHeWcgPTcy2ixZsq/qUusT3PkVf
pNEDJKvSYzb0q0HP2lUhJ9Ql1eYyJ6YENWDMWuD1S58i+LStNLSwTDQ47PTYd019iuHkaeW3l4Gh
gwEgQXCRcZ5YWanMUy/mb9v22jBDe4Vv4vcKRX5ULUp3oqaqj85yISHAJf1wdOL22i+DJZonl+mQ
fTc11nYRWzYkJ5tIpidsQU8lXcuFQ20hK+4VO3GnyLvEk2ToQWZhg4SEtgyZlD3byFN5EYKTWMR1
9r1xKJnmTKTOTRcDoJQJnCxzwnGHB4WmRSQesrdAUYcxRQ39iPxg5ZCV4UVIxKahzsUotbf+EF12
nInTOgQoERhVOEE40YNlMzDdbDBUTci/wQkLTnNp7GYRiiL4LGUTUmu87+Sum0iReWtg9lSmw6OR
GReQ+ra9wuUqPbwXueWkQ3BlYjbpKUJ7BYxG6LA2wjmWla5kRTmq47wE4aw280go6xRxGB9VY3Gr
qSz8ONXupEE/r4P6sSviBSrQtxz28klgVqSYtnNUBd45nZYbmDQrRGkxRfQRI4+bjJqF3q2wBEe4
fagmmdD4odXZzlTLegj6TJolJb5XhRAnGTL7SnGTYm6QzaLAD+A/zxNYB3HjHsnlsDElJkPtt+qC
xudNn5Lo2q50HHjepgytmUdDa9KH+TIrqF2nVn6RRThHIPDiIeJlPGDpoC+aOvimy5S2wsK8kBvz
a4Z8g5vH/Wr0tB+hTLVCayluq2oJMqhPsRmwYtE4qWDZ4Yoyxz29Bnc5OJNiVL6ZVbt2dHqtY86L
LSV2bX8AsRdaYMBNKdzIqXoWkWpN68ANidzzk0AIuuh1uRyQ5p82GqLmjRytQq/up4Gtcd4JXF+h
uuk0E1IwpmM/omLWT9COLhetosnTLGnbWSYP1A6wOR4k8452lwKi0jWmSSHd+GV3SzGFZCdwplkX
A7hUCO8bbDy9KoPMoPvXtWkVcyQKjxqvqaaJ7NzqaXPhxZAstaqmDJVLzbQwWU8aDfjek+KZGqVH
EpETCzKU6dTgjOElIBQ5zxktjpBwVVDooGIUbDsgoVJu/jBlGupA2WdWIvgEToQoBUwAqCoP7VCe
OJzkKIwbD5C2MRhoYGt6Chp/CE07Y6tPezO685IEGey+VKd2Y05DKaEn/x2R61MCA+QSdZwolSY8
zo1SmeZNiNZDANeqKPmZHX3zJINWXBfeKCQz4PalKyuhDajCx9Kd7q4n5qL8NEKwyLN0XtSaNx0M
WrhJVPA4OqwXuysxJsv0ExsMvm0PomlexFPW3Q9watTVQCbMvUhbwJG/z1uWrl8ql7GHQQxz4Uwz
A8pxRlhOmii/NgPekWEpGuFlzz5dpme9XqaL0tSpR9YPtDaBFQT1XdGjP5A08u2I8GE/xDeAlJNZ
V7GlWvL3toVfYtNwmeB90s2yuDnNq3KRyuiJyEMFpzaXUYEzw61DbOy3JpSFPt2OSXk8OlQ7vXI8
QqH6Pgih/6BVlLfAhCuiPCti6/MLZqbvdNYyAyYxKxprKfflD9MnpLOy/puWEPO1IaofICMaKz1y
XXfmR+kGSPP3sG7Odb04hraqzDx6sbjFcFJqBR5x1lXvK/PeANHkFtk15YEVgNwjx5BAaIUXNexY
KDrDZNBAorqItZbtadlnR02QT2MDrfjjKlSGaeFZanQZp6N5P2SBaa8LibbbJdK4eTsbbBNWRi49
awf/Xw5q/JbLf9Mwd5J0uyMJfcPkVxxBvVcswEVobKsyP/qrmyN/MWnU4Fqlkqa+VZrDMRtND3Cj
ivrUyxEp6ms3B0kQOPdATbH5fNKc+yfYUfMdW+4JriTDl0MDBuk61J9FnvomD1VaAwwErLfz0fCP
wcCCBMmonUcpWm9hBluTQDx04zM9x+gBwYKV3CjLAE8mvwF9gJC306mXKXrzjaYcd1W+iRr9m1uB
JEzrs35UTj1HX42+QLJL2TD1Le9bNcSXLbWbuZkkKFGa5lQXjkZu3OTTUSEbSgYk6uPIpyaW1Old
pvknTZPZpyktfdsXeBQhTTaC7EGK9rspGQvNVSh5Q0vHd3gCmeC+U1oQ5ykVMoK/mdrAM4gUKKqN
mT2iqk4gQU1/OvoWUXcbKUfGYJ/WtXWkuckN0fUW6MRZpTuiBX9DgT2DpOYtMbfGqRMZ5qw1z43M
Oo5r5IQc37jVJGk2ZvWfnW8uqrZsaaIQVHSOfQFG/CROsvOwi9ZhFy5ySXFZhHDbQotSr1JKd3gQ
09MZc0Ryw1O/RBFfAOjpY9RHKTql7LcjWbTpJAspdP7sreTCaPHFwURgnReXoPUXCccspc1zlNEX
jdbT3wJvEIY4hNHt1hRsf2LpvtXdO+qzC7MhvXEgn6+0OPkeDHBCJBm8KUQKKFLhekA1BeZUcyn3
LnFpZCZfC/0IdhxWmrUNWJRuUbv2ZHvhgmUCOori0dC01z7UEf53sCD2iWd1kX5tuA0X7O00Cjik
9S5bGoHM2NjKlCP6pGh5D2EoEXHIdjzLBhuxp0G7CuzspOvcR73IAbqZ5o2emVcS/dCpVJunToKL
amNY/tTPSfwpdV9JYLiMsNZPMXEhzinCG7xUH+DYIJSVXELkfAzT8qvnANHAIY7AkIda5a7SwT5w
8QjNem9K+Xqh6YI1aIGAy4IIw4oGtbpkZYwRmKJ2FalaPE+bfqDu3mxRLMtnuglYTbby+yxL5g4I
IEFx96dFTEJAfwDWQa9UE62CJSpBf52MPUekiVTxGRzL22KMyCQaIm6ZIzALANlhM2Fjz0IrMi6z
EznrYxodEVCc6j4wrVNDN67Q8A2mVuCgbK+M4zJJifBTFxcSZ+DMg9v4Z54W13bLizc6D+XicY0s
86PbSsoMSbIrJ7evGqSrOo02p+K6R1Yk2RODST+BwLvoR6AmCO9iLORFWHt3JUZLRUnIMg4bTxur
KdkkITgjOqml8hh2zEyO6O4OYLaUOAnOES1ZBqOazIfoSkLFCojTpPXGjRQNm7o1b7y+vYliBW1U
+yJSVarzHgy9TiW+w6L2K9qGhLKxNffHeuEPrXkMOKWjZwq+GHgfWYk0bHivw7FeGfMsB8UbUWCb
qZK+VfvqLJalM1xQ0nlgD+kc8Pkmg7E05DXKZGYy8LqgcAydZU2GkiBcLbrrxOoyNJVrZemCxhYY
YO6njdNZ1zAD+fcfagwFZTBidxLpovkbS1dUZbZVwpTQzSQg8rBu87JYVzFce1XRt3kOpBkRkSok
V8LZSJ+nHVIPpkI7UR7LU1cBM41p+CxhxE8KtOXBWDGbmjr9picxdXCJPdgLbLRTWgK2ePBWLvIl
q0wZNoUZZEuHrZH4elFojTQFfn421v55FWuoCFlCsjrQrrsw6WABQ2et5CUcgRvsexZaplxjpkJ7
bYSbLGfWxgNEjlTascrDzboAro4hN7foPShTeGHFPA6pNZUGkzqq3G+tOX4ra+oIle6tvFhaQaVt
5jTmo4leN9e5ja5LGfF+NSmb2dTfph3EyYmXUBIq4cWwy2e+c85Gt/QKLN1UvboZ3O5rpNZ3ZWGD
iImaO90ZZdqInUIFQIUGU4Vg6WzfwKSQfm3moWEZK9pRWYXXqaktx7zJaNMo37qIOoYThxhKO9h/
OcDbtNxElkP92pqXXXU8uvcd1UBfu6SqNKGM95Ww+TbQEl5NWi+R4VirOdXPPFYqPP3MrcJGP1fw
BSZRZWlTfl1JBpGghbzzPLboPQc6LpBOd1rl8VVLa9DqY7ZfhKzHQblGfPLEz+hRBF5zZ9XUPOSi
Pi7qNTJNk9pAs8UD0qUPGDzEmRMsVVT8pkYZ3CnDuIzjMjyldETHRirPHKT9Fu3QRAtkU8LJSIl0
UuXk1YYrjIa9Y4PK6bQybcHdyzwKKkjnoFvdZ1sMbv2zLq1RkSV+N6y7MEu6ZQnICehCMQ5rhWrD
1K94z9YwmivPrrEmcwUtvTp26xG4EOz3c3mktYfJnn6EpsQaPKJtbxp9AHHQo+Pi53Yx5/AI0UT1
FomhnKm5ccRudGy6TB2sSCYlQt70FHXtKzaF7BBtQUGxklaE1Wvodd4q9eWtNshbd/C+c+Tg4uP3
q0EmGbYtsiyZR+ce4RJks6iPH/ogotzm+UtVDoHKuTRfU8+893tM+uC8hPOORlKhVNAsgLyZrSRg
siZK1LM4/17Lx4ruXkWutZKkTl0HpXWu5b2L9W+iTKNYvmX4OcWVeJv34XGrenhMFv1lWZnL0K6g
iqFPukh7Gb/FUs7BeoI0VIruPq2Rs+7ja0MfZmZs3CItdDEUIdWgMTrqdHNRBvEFYOKEmliPHXWO
hoz+wOZ6gW9eOo19pkBgFlfw/RdscMqy02EdOEq1Tn3cn6wR0K5ZA9wMk3P6hJDjXB8rOUQf52Vf
Mx86L0aObfTBhKAC0yPtmJt6NQkydTNWVBvjDl1dEpwJniprgtz7ssxPeyu2yJ+luRL0U6Ozv3G0
UKhSr4AwnrByV5ZqymgZ+AJIkk/DID7rFI7aSDkN3PrEjbM7WnD3nRtxRqTWXaX2Z1lPatsFDuVx
nNixrfa+JoOMErYUH43BcamXZxSaFnmnUssJ7EvfyDmjJfO2yduzsfcnSAx9j3XjuIiot1bacNpi
LrUayoHEsTfPEgUtSTNhI5QA/hoBVT9Dx30P8qw8njSlpk09PNdQgzHvwi5JLjQgoUhG2dJEwnhr
1voQzFuwPtNOVynPJ+kwzSsLI6SxXFWgS2alHH63OmIYu28urLzSlk7ZZkv0K6vTpCjJuLQOFLxl
sym5MIBcaemQUxNzujWLy8DiTb9BsvLYDKxkieLnkUO0BTkm10JzMrYOnemnTtj/pWOiR/brluBX
WoHNLoa4+LPXliCSsqZwt9FoyCk/Y+tI1AwLKi6tOAf22luGuP4FjSoMGXTdeeKIkCO9ZmMaZsW6
SgqnyRaYONKnf8DkE9jLn7CZGAsJJRF46gqgcl3w/N7kYr0seW1Zps16pFcliEZehUmfnTxPkF/L
i8sfIHyosKi2jkIuLRVV1sWNvPkiBaGSwgz1nMjQcG6xoQDLlVjxMK5A/dHV0eq00Y8qwADXqBN5
lOIV/S60yd3yLLSPS29wThRLyEtbpdFfUMu50oaMLMkcPAvt/CistD/bvjBtlBmKtkVrAbB/i2wP
YHUpxoo8rvDkzPNMnVOEw0nUljyXYL9yKbxEgzMXtBl5VqUPRqx3a4vs8xylxTyeKjkg5kXm9to0
boFCxBWCcCA2Mu1cbhUjOm3j8Lysow44e9pTqrnQFHlrVPljyqGEkvWN1RarFN9fQzIzzg2eAgoy
UGB34SRzo0+O3GEoZlqUYNVbKrN4KH74tn9FGXOtqPmPRmuvY8XjxNXL8JsVoQzieFFzJll5uS4q
wzyOA9hrTkJfalSxXJck7YceVkhkuL68Tmv0f5MWHUlyMgMFcfsMvPy6SisEtVQbgASx87JOrdtB
ke5jFV5QFvowNOraUyHLa5gCekjZziEgBfR/xCVq7D4js7wt9RphStNO/asKVY95Az0N0r7c3+uQ
dBhFNUMeIKKUqEvlMAsRZynM2j72JcxO36y9XThj0b9+N5dRIZUBCuJsA73qXV0B++bC8xA9W3MA
bToyjevx2pqAawddnK5cZQLrfI4K/Ryq6cQ41hfaXF250//RNx607Jv7QHBIE+RYlBINwcziPPt5
qqN73DVe5WdrQvtjRI77aeQVLnkN0QgdBGdetK62KFWzRJHBls88q3SPFd4RDsDJdLCGteNCU7XV
8U/cKZ1FpdJur+t84drjn5aBuCD+0RC4xv6uiHNropbFMLWqUJsBGFLJfujQGH4/HzSccRUoX2gl
F2iYwlt0VqMG/FNVl7puKJMC4a1J4EAXStIVBflZpqG5k8n5vOu8UxV9FzIExHVaoowkCasZi3jd
AWJaFp4gZGjerddlK0VLzkitsNKw86UcMdEsp6C6L4fXv3/FP28iT1JOpHKocOsO9SPtSTj2zSbi
jGrn5IlbruU2CZdsBDEPz9kuBf7cyJBg0Atv8/uvfCLP/T2rPn7nu7cp9RgLtAiyrgtPQyWZKAt6
D3wwa6UnzVlWuDQxTaopFnoGRkyxlybZgAtkA3NGwlEosO/lgFItijo/XLqGeVGcqZl5Kbvjg+EV
fyZdUMyKtMifYff/H5zJL7c429Sb+RNW5rLZlsPVtqIP+ZcSuvjpRUbz9ib7937p9dDbfaEXlM7N
kG//8z82j4haIeJZl8FDDXacYxskz98IHlEh/emUf7qxp7v+7XXiDddpHvkGqqeUXFVObPA64sO3
xBmWCc8/lpC7/oJGmYM2MvOH73ozRr8ahd8/4PNw/v53fnvzHwaBE3nvQWDzdRxUCXDu4sPG+PMg
qF+QH4BDq/CT//1BeDsREBIg9PnHz88D/j0H0JuDQYFLC/q54sP589PjE+5RlSfQAj709DmEQfiw
HITZ5L8xEmLCvx0K4lkbrob2/KRs5D8Nhap+UWlBWMJl5n9/InwYA85tXt4/ng0/j4EtSOMEuwLR
9/PDy8g/PYkxPU+U5686vB1BxOj7jYGufLFQv7LV13nAzPp5KPAb1AzToB10qBPhPbnq3zkb0MFG
Bpuo5enzfltkXyBgRKTSes42D28miONsv5mgkeoqnH7yrwYBjXFhuKIo6qEuB2Xv5cAgAOFEhQcd
tqeP2DB+ihLUL8j3KOhIHGyU8DxFnxP/v0KvfxQqOV9UEQixHn45CEDs4IC97D8HuBz2PyBZDoh3
KvibfpwCoLOxZzOe19wBPv3z3NxjCohjQeToqogWxedDeKAzR7ATMIU37UHGB8r+OyIaxDJGU/js
Pg/C+7NReFFRRIBEcBDRMg/8IWXgve15LNhfLHgShvoSJ4rQ8+cdkVgJ2AlJg/m0Wxzq4aDvHyZg
yaNiioQn+i/mA+mDY2uigvr8Cwe6NOTn6brH/qCZImykfKb8eigsG36e/XImH94miaL4nksDf0+d
kBHG+/MxKYoU75eGKeSlmDIHOhOUvRcFg2DhN6XT73j/9PoXWgCaTJJ50KtB2T+RVNkCMbAgcnye
Ce8ngmJ8IYVitZBtis+h7pHK/mU244uGBgVJxPOT7iqxiBKUoqmHuiY+GCL883wSzyVLV3RcC55n
/vt8kuIKVQcIg87zJnSAu+P+WYT5hXdMCUmncPf0ebc/iGIbPyOdPNSZoO4/CDYVR1QJMVR8/vCo
Px0RDAJsOWydhRLsYcbRz29nn2ABW0JDVTX6js+D8H45EEfjGUYtTsjfHvL2+BlxE00IMkfrJbXm
JPhpPtCFoNKGU5uQsDzI+fAB//7Pt0cLSzqBLNd/UYZnEDS0GxUQmgc6CC9vZ59FwSBYCJYa8kti
9X5RcEbAAxDZxvOsO7wzQhAQ9kwuTWFl+oSTeVr4HyNofA0hE9BKPtQyg7p3BK1ZX1jv7AgQQZ4+
7/cEzgjHRN0LEe/n/fNAF8VLXXifRQEvRtRa0FrYPRQq0CrQBagwHGzMsH/Zyfqiybho/RU0fNgZ
yDuhPnNa6q/z5TBPiv2HghhSA2VHoLx7PojwCWMXqgyHelK8HGF7LApqsRyUDpHySzbxIdHGFxZY
lU5SdaA7g7Z3rYVNEokzBFaIlV83wZ8DJ3RdVIwbbe1QAydRINnzuCROBg2qkzI9Lwfe9/tBoNhC
9m0f6nGpP0/RfZYDsx3ipIa9xvMg8KjvB0GzFTR5Xgb8AAOn/VMq9j3I0ohqvuQRH2aC8gWtGl3A
8A51T9g/eqTshvYkvtPvT0jFovTIJMDa4XWzOMgTUtz4nluCRumR5ott/gq6YGGkqVFoOtiio/q8
Ye+xJYDto4IihuElTNi1GixRnVX/OjwOcj4I87c95wO5AmpltOteGjPvC07k1jQkiCa05/V3eLsj
UsT7DoKBrywiRjzo7rBRYD2pTwNlOdRgQUg17zkTNKosMtYnL4X4j5V48gzAsJRfD3YQ9k8g8NtC
+ZqC2kvq/GE5iOBa/IeehfgcamdG2ztuomWL9JyAeP2iHg++CwdKmV7eoYYMgi+y36IQ3Uq6EgQN
L7nUh/kAvov4mQ7+wc6E/ZsSNGaBbxEdvYDc3h+XhE+UZ2WO1KfxPrwjQt8/gBZiKji+AvZ+PiLe
jwHlV4JLU6c0d6CDoO0/CNSgWQo6Lra/GASFiUAHz3Ge04yDXRP7h5BPRVjLIix6DhF3bAw06qhO
6oc6CC83tk8cTURAFw7s60uR5X1exREhim2klYcaPH5w2vjH3SmOCGAaJh3LX0CbBDMCjBdI6OdV
c7DzYf+DAgysKdOKs5+Do4/tGfkLPwQSJySj+BzsUHxK6c0gwRS9qtdHfV91gpvNOBxs9KTvn1ch
M6bji2iYv0LHU3XCiEaY3h7ooSno8/uFkFAEAC+pMAlf9ocdmySCUSDiDrb09kEz4R9vkhrwb9a9
hofx83H5fhCeGjMUXMwXrOnhxZBC9G7PmYBuhAU2nHzhfQka+DwOAgr4xwNdB8b+O6Lo1SpgGsEu
PX0+1OHhC0GTsanV/+uD8C/Mk78IylM/iB+fqMnYzuxiMP/qF145uR9//gZA/8Q3/ek3BVX5+cuf
Yfbi///Xz8zlJ9bwm5++soifvunl718e8eOX//Rlr8/1+o+rYFtuygd/ePrB8HKj600Ct/m/Y/7r
cfMe/i8qwq//tptm/df8//3V8QnYvl7oDSebYuXfj/qRw/2vXTzZPGbl64XeXJyFs/fFJ3jh7rpx
Zure155u4k3LK6ler/Xm3pnv+18fHdHqwyslzCKq+4SLp3W5+WOaVfWur2A72/srZtv4j3VW7hx/
9p69rz+P/5hlJZPn9Vpvxp/cbe/rL0qsrHZdnJNu74sv422avl7nzY1/xnJdNcn3LH6sP15egP33
vvWjJN+WwSZ+vdTfdy9w9PtfHln518u8ufRnrNiTbbljzAVmYu+7PglSb8dGoHzGWj3dRDv2MEGr
2fu2TzdVtd01Jp+xQE+z6o//Tr1tvN01Mp+xRM82j2zAr+PwZrZ8xhI92+AmtOPan7FExbWRi9xx
6wJNuPdrPdumj9lDsGv3EhC9T7h++bB9fL3Q3+MuqKD7Xzzj3l+v8+ban7FMz7KdY/IZq5RL19ty
O+y4889YqetNvmu2fMY6XW/bzcfY0cBK9vVZ9ogdz8sNW8Drhd68zs9Yohfx5mG7I3YUTd295+EF
Cpe7gjvRot/74lcBoWMVPO4YGdH43fv615uHkpQgrXecpdpnrNLrTfrHZIvb2q4v+Iyl+vwFZbop
H3duZNpnLFrxJbNg6+16iM9YteL6C1bAQ1A97PqOz1i+4juOs03R7DqtRIvoEyZT+sdpE1R/nH8P
qnzXc3zGYhbPcbapt7uu/xnrmevXmz8mm/L7ZlfMINjhnzFSfMc03v0Nn7OwxVNMy2Z8vd2/91TB
W9z/EfzNzpxQ4Db3vzg1jJ2D/ymLOaginP+a1/t8MzCfspazeLMrehDl/v0HhsBklwO86HPvf/F6
kwZVvGmq14u9GZpPWbqizLLjHBa19r3v/mbrb3YNjWj07X/x3zqGPmkQ7hH83DTsBDuOeKEbs/+t
/95oZt97/71w8r5X/5bFO/Z5UZHfe1y+Nd93RMqi3P0/XHpXWfYvFciPxdpXdcddf/ZzLVr8xkO8
3ZT/9f8AAAD//w==</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solidFill>
              <a:schemeClr val="bg2">
                <a:lumMod val="90000"/>
              </a:schemeClr>
            </a:solidFill>
            <a:ln>
              <a:solidFill>
                <a:schemeClr val="tx1">
                  <a:alpha val="95000"/>
                </a:schemeClr>
              </a:solidFill>
            </a:ln>
          </cx:spPr>
        </cx:plotSurface>
        <cx:series layoutId="regionMap" uniqueId="{67A15A05-8791-488C-85CE-2A5D206323B1}">
          <cx:tx>
            <cx:txData>
              <cx:f>_xlchart.v5.10</cx:f>
              <cx:v>Sum of Quantity</cx:v>
            </cx:txData>
          </cx:tx>
          <cx:spPr>
            <a:ln>
              <a:solidFill>
                <a:schemeClr val="tx1"/>
              </a:solidFill>
            </a:ln>
          </cx:spPr>
          <cx:dataId val="0"/>
          <cx:layoutPr>
            <cx:geography cultureLanguage="en-US" cultureRegion="IN" attribution="Powered by Bing">
              <cx:geoCache provider="{E9337A44-BEBE-4D9F-B70C-5C5E7DAFC167}">
                <cx:binary>5H1Zc9u4tu5fSeX50o2JBHHq9K7aICV5HmOn0y8sxVY4jwDHX3+XbCfHouRs+lbr4egqSaVsaoGL
/IA1Y+G/H7v/ekxWy+pTlyaZ+q/H7s/PgdbFf/3xh3oMVulSHaXhY5Wr/Ic+eszTP/IfP8LH1R9P
1bINM/8PgjD74zFYVnrVff7Xf8No/io/zx+XOsyzm3pV9bcrVSda/ebazkuflk9pmLmh0lX4qPGf
n51lEv7Iqyxcft68Rv78/O9kma6elp+cvM50//nTKtOh7r/0xerPzxvjkM+f/hjfbou1Twlwr+sn
IKb8yEbMJrZFxfOHf/6U5Jn/etnAhBwRThi3YOSXu14CKx/i6Jmf5dNTtVIKnuz5/+0BNh4D3sa/
//NbeFy/jTUAPmDx5+f7LNSrp093eqlX6vOnUOXPr6vqnXz9qPd3z+/mj00I//Xfo1/A2xr95g3K
41f7ny5tAvkfQHZyeJo1xkrvA2n7CGFbCEr5C9L2NtKYMtvkGK68hfqjfO3Ge+coE0DfSXdgyP87
KcJstYfVbR9ZgpoWNtluzLE44vAxTc42MZ/O0W60R/QTcB5RHBrC6fIpr/aCMAXhjIgNAG4KbgTQ
EiIoEmj9wSOAJzP0DsCb9FMA3qQ4MIBlrfU+VrA4MjGhDL23ggk+Mk1mYUxGAE9maDe+m+QT4N0k
ODB0v9Xf96GSxRFm2DSx4M9LFIGNtbmGAVybWzaz6ObqncrPbmw3qCdAu/H9A0PWyZNa7QdbggSh
oHvfwZYcIWRTSzBzE9vpHO1Gd0Q/Ad8RxaEhvEyWzapaqr1oXywsggl/bwGjI8teTwNmjUD+CFPv
4Lw1xBSot4gODO3rZPm42o+hZQsuMLNfzCkEEnksqxFnFCPyYmqLTcCn87Ub7RH9BKhHFAeGs7tK
Pl3mEJX551c1w0fcZGA8r93l9WcrJsKOCGIUYiKjoMiHmNqN8/YQE6DeJjowtGfJJzevwIX659Gm
9hEnwjLJawBMwMLdXNjgSIn1wjetZ00+srM/xNpuzLeHmID5NtGBYX4XrqrncBgE+f7RkCe4VBai
EPNkL5bZliRHR3AR2Zb9YrqNAJ/O1260R/QToB5RHBrOy+zTvFpmj6F6zH8qzX8mtM1thLhtv4rx
rYVNjhiE902bjnT13VuOpkicd4DeOcwUvHcSHhjsc0gHZPuQ59YRp9gCrxq/aO8x7OuYp23CHzxy
vKZztBvvEf0EoEcUB4bwIlll2ZTl88GUFchvgiBoQsCn2tTU5AgLG3NqjuyyyZzsBnaTfAKumwQH
BuuXVbBM9xAxYegIc8tCJnln4a5TkZRhCHaSXYbYdL52ozyinwDziOLAcD6u0+958qT/+RUMSHPb
woxtr2B2hC1MEdhfL8L7pz3wknT+CEu7Qd4aYQLMWzQHBvRJWqyqcJn880BTAq4Tsc11WOT5Mza1
sQm2uAm6GlJY68/I1P4IZ7vx3hphAt5bNIeGd9bvx+6yEQHNzF9zzVt2lw3aWVgW2OObq/pkIj/v
IPyWegq6b79/YMierap9GFzmEeXPKciXRbpepRt2F1jU69ISTAlEyt5WjkzlZzeyG9QTkN34/oEh
e7ks9mByQeyLCKjuguTxs/jdDmqDyWULyD7bI4t6Kj+7kd2gnoDsxvcPDNkzqDLcR2rKOoLlCNgy
81032IJrAP140U5laDe2m88zAdxNggND93wZ7yFDQUHggk3FEVT3PH+2CgfIkcAmtqB4YFMiT+Vn
N7Yb1BOg3fj+wSGr1GoP2hacI6gJgTTji5OLtmUy5JThMrOt0cI9X07l6D10N+gn4btBcWgI5+rT
vzN/laz2IZ/ZEUQ6CLV/yudxOS4G3cwoFPfBMl9/Rq7R+ceYewfxHYNMgX0H2YFhf7F8gpKRPXjE
1hEUjECAkr+WBY1taYKOkAVl2AyPkhLTOdqN9Yh+AswjioNDuAr3IL5hQ4XgzAR4X/PJ43UNUUyT
YhDeYuQGXywnMvQevm/JJ8H7luDA0IUU3noTRVUP+1nDHOLQCFsvpvUOiKEgG3KPYmR9fYyr3Tjv
GGMC2DuoDgzx9fIp8r2UcvIjkMcgse1Xk2wssyH+ISzGbQIG+fNn0+b+CGe7Md8aYQLiWzQHhvcX
kF6wB+6fX97r7AS4ziDCX5f3VvkXOFcQEsFQ27sJ9AdY2o3zeIAJMI9JDgxl2MyXhSpZ1vswwTk4
UgiyxdZ7XjSGEu21Ec5HqvpjXO3GescYE+DeQXVgiF+ssqf8MdxLach6vwUIaM5fw51jQU4oFHZy
i9J1yefbQPaHmNqN9/YQE+DeJjo4tKtH2LPr7GFfM0WWsKCI7x0bDcIsNmy8wfylCnAkyi9WU/l6
D+0N+klQb1AcGM5gf346zZdlvS+fC9Q1I1DO9/wZp5lhkxwREAoXYndF58eY2434riecAPsusgPD
/jqpoc3CHtY4mN3U4lC5/VowtGWoITDUbGHCFuhNcT6do91Yj+gnwDyiODCEL3JQ2f88wLARgwkE
+P10tLcK/tARrHrYGothxW/o66kM7cZ383kmwLtJcGDo3gVLtY+OFOBoQd8Bi9r0vd1z5IjaGNn2
uk7sLbzTOdqN74h+AsAjigND+CLfi7kNGQzoLPHLBNvaRwVxEwJxMtj9PI51T+RnN7obTzMB243v
Hx6yelWt9hAmodaRxS3OKXpdvTuMLsu0YH2PWwfB+57M07sIb44wDeVNmgND+jXCmyz3krbiR+tU
JJQbvOdO4SOo68PMHO9m/yBbu/HeNcgEyHeRHRjql6tmuZe+YCCaLcJtil7zlDtWN8LQu4CNcxzT
OdqN9Yh+AswjigNDGCbxp/M6VJ+uvoeq2Efhrgk1fsQCMCFjtf5sRcWg4AQqP6HFzEhN/z+wthvz
9waaAP57pAc2C65gg6S/j0oyChX6sLfZtt7rEAYNAk3oIWWNC1Cmc7Qb8xH9BKhHFAeG8G0ITUpU
+LQfkIWNTEpf67e3VjgG9Q4tTKAUdLTCP8TUbpy3h5gA9TbRgaG9FlsSqvWX1dN+Uh2wkQq6C2Gb
vua2xvobICeQxYSWJiPX+sOM7Yb9nQecgP07lAc3AR4raKSa6X1odBsCK9D4ERT6S/JjKzC6Dqyt
/8CujleNvxFeWX6Et/fw3xpjEvZbVAeHe/bpAhrU7gP25zoVDl7aa8n/Fuywm4OAkybYKNu1XnKT
mXoP7/EQk+AeEx0g2nIFdSr7gNsCy4ysu0O+s8MDsl4MEQQbbcfh02cZP5Wr9/EePdlEwEdUB4i4
G678fQAOu2kx5DlhR+14Ax6HbdMQKrd/ToVtnT6Zp/fh3hxiItqbRIcHNiRG5LL6vp+oG1s3qFmX
Cr/TEQEC6JawoScCtJF8/mzh/jH23sV+xzDT8N9BeGhzIFRx2Of1XtKf0MkGqk5/9uYHU31j3y2U
kltQvWbChoER8B/g6R3MxyNMgXtMc2hI58lyb3kyiMGscyk/zfExzogJ6Ea2pcgnc/QOypv0UzDe
pDg4hLN8H61tYJ81o8KCrdbv5cqeVbvFoM58tJIhEzqNo/cQ3qCfhPAGxYEh/KWGBNk+Qmyw3Zqi
dWOi1/aw4yD6Otct1ikycySrp3O0G+ER/QSERxQHhvDduhH/PhoAQ/EwJQSaPb8aY2MjHNwtC9wx
qDIcu1uTOdqN8OiJJiA8ojgwhL/U0LM93ct5KbB5z4awKGD4jiZGUJFEMLbJ1iqeztNulLeeagLO
WzQHhvQDRCXrvdQzQAdn6PBK0XuHIT2La+haZaHR1o8PsLQb5/EAE2AekxwYyt/yZB/REjj7iEMv
KtipNXaboL83h3310Glu09iayshuYDeoJ6C68f3/BZD+nsWNB14fdPbvn+92Ryvfjx9SB0W+lgVh
kN1ieR0HwWBcw2kqu+Igb0/We8lz7OJpN6pvaTee8eURf/9S9nME3fvH0/066c9d6uXs+YzANyfU
/f7q8+PD2YYj0te62x0v7FdHqJOnPz/Dhiq63vL+Btn1QJtVuz+zDD9nxibhCqqM//z8fOIggiSF
ZVkcEljMgjHb1a9L0B0UExNyHLDHft0aJYMzAILncww5dI2EYtN1l3bo7gtUKq9fL2HEwTSHHZtQ
SQ67tn+d43idJ72fZ79ezOvPn7I6vc7DTKs/P4M/Vrx8a82tiaCeFeKvNjS6g3w5h/bRcP1xebvu
mQRv4f+ouq3L1OrbK5RfVz6b9RF337yUHXcATt/cYd1zHDY1QFAHSumgMT10gtm8g9XymNa8rq8U
i05D/mCgK2HeKHaMveu2uVR49vv7QQ/V/3DHNUdvnol0dhUOOKmvoqI2pN37Wshe5SSVuZ+rm7bK
7dNGm8WlFZueVNbcivpyVnqdZ850qvks8jPr7w624JxYNGhkXxbMxSqnktrBuZknD5lNYqeo0FNj
xD9EZ/yVDYAAJkzynEUy8uEQx6xPTElJYM+qxEhl6of+MYutheqTcA51xnTuF2G+8Pouc8IujCSv
aiqzAVXSI+Gd0dpOUYe3dtOcCZPmkofNuVF6gFIUytSzC1m22mU9lb3V3nhe0krPoMd5jq+bgEo4
IvMkQ3Uo48g/ywWWNTXuKwP7ssn+bgZ63fHguOGDmmGtFqFmC1bYp0FodjKw8nZuFJVaeEF/kdd8
uOMaiUpWZq+yu7wMrGOrLJwIZ+VxaQWGvhkKBr+o06rLrxKfnWuE+WWWDuYxU3pw05qW32Nkn1tW
e2Gw9Lzg4UkXtxeV8C4NFF/2g/UVJ8KSpWEICYc+zisSPjITPSVGbs5ak110BTv1CHWbuDjXXjur
6/6kp+E1Gkon80o37Prztu/Oa7vKXT2kyPHN9kw16GtZkxljuS/TbLg3k86XXtrHl2GdXWexXtR2
exkP8SnKYy67wkIy1lUry87OpGpiJFmfzFTE70vdVzIykD8naVGf1HWrF4lH1I0dlv150ufmXNnk
LEmfhNFescC+VXWFJQ4SLYOgmuMiPfWS8LrOjLu2yeaBAbDkXTKzQyF5qp94UA8SW9EN8duZqNNa
Bh12oXG0y6L+Rtd5IFXROFbLFm3VzBHzXG3ZMsXIzfP8bsjYdeqVpdN2qpE6iZvbrg9uLQ+fVG3t
2oX9F4szp+Nm9aVABnWisPqR0QZmk1jQNpPD4CWSIebguFmh1j/LasstGY4ckGAnJI0sh9JwZhmt
xJ5/HYTNBTOj49JMFx0yZwnPnLrzzpTKjyuzkWrQrqmMS9BxLmmNExAUN73ta+mFSEnKvHkp6AOr
lENghThlnLUyM5P+OG7N5KRKsnkR+rWkvXEaq+GLKtpA9om+DKv8LmqQG0UNTGsvEk5tk6Woo2XE
7Yu8TCLZRW3stKrqpafa1DG9xj5+FjOvyuhVrr1I0se86KvQD14Pxf3147++5Cn8fT5f9X9+uT5T
939+Wqzyda9fNf7S+j6/vgW3eb3vWsls/LCl9d7Ray+n9r5z8UNKb10V+evM3S2l93IKz7bGe66l
/KnxoOcP7DM3QeWtdSiC+MEvjQc5XBv8UWpBsz4TDjP4H40njqDNPQVPda0k8Fqt/dJ4cKQJhh5i
aB2ugOwRqNCfD7qBE2j7HfqIrhvTvNFIa53HoZs+aFdwjsEQoyOd1/RtwzTj7ZXumthhOv6aN/0t
z5tmlgj/KsVl9JiHTSbDnn6hmkZOQw3vzubtDyNAc2KZTA7UGKRvlzOUJbACuZ/Mwsr7XvkxdrqE
V7Kps1smEn+BRO4t2sa7sOFAZzco+PeahndWM3wNUm3B1Ne1JAVzujxIj2NenNJCgbrgQSSpyOZD
Qu7gXm6rcS1hGQcuqXssI7uOHG+wLnQs7qHFeCCz2H+KlH3BKu8Gse4q8NVxznEhm6a/IQFCc2bD
Wo9Yc90Rns9sSizJSdfKNIkdzyew/EuHlnV0ghgJZVvgYxx46VzoXM3iUNuzui/ojMbewoqTSuY0
Fcdewb5UQsumF25N6awuFJJlZYZOmPYnA46Yo7PAlj4aHkzxlOaeW5HuQqn0lDf6rxoNoVNEqpOM
ho2sexBAVlMH0uz6VYPykwbzOacGlwIFDz5OfSlsw0nspJSsSqUfDscR4VdtyC858x0/rx5yw/wO
yuGM5/HCiAfXotwpFT6pvfiG9DSTvmnd2vCGvJD70sireZsklxUTt1aIvsfdgGSHQDKbCA9S8PY+
JexbZItLUvDW0U3G5kWNlRQdP8OR/cVIaOZYA3oImyiRbRadDdS7L7rqEsyPM7+KhVRJsmJG8HfX
GF8KWp93QXerhTVHlvFXbUSPiYhMaZp941SFz+WQ5PaMqPIH7/s7VBuhLJm4AJjOWzDPyipyPfYD
F+YM9GEm23qYFzxXLmHhXR5Ex1Zk5xL5fDFE3JRVlv9NM+sbTdXaKOmWrG5hfuGyBJski2Wj83Pc
JE8ezEhR0dRlJF/gxDqtrf44tzTYOGDSkIB+MZW/8MPQkINXXmPUagl6onPhtKFAVkYfuUZQ27Kn
YJogET9EGl7SkBmRNANlSpaSW20VM1Gkxz1KKzFTOitOPb/1L0mdP3TqW1KeUFhz31Idyrwv0XHg
x6EcNLvPyz646dtKnHhxAnYcV92CNV4oUd0ypy5xNOvrwJShUfwwo1aL8xaXOrvxAi/qwaiLy+G+
MfMwlmbT2UpI34vZXebRInYMnz6ELMpnDNd3sH1zkF7PZJcx0xVt4yZ2FLk8E4u+aJVrYNt2dVsl
p2HB+CxtPDwrWvotb8xoNgyw3JIApnTWaguUd+WEpkkdI0xd3xbdnV10lsyD4KoLhieiOxmWvu2G
YTlHoKDrOMWzocPeLLPswI1tf55wftkxJnUROgOyv4YmmA02WK3aDuaW1iehTWWFejfp8uskrOdF
Y2hnMNRZXqhCGo0+ZUHmXyZxdx8z6w7eLl6Ugl2qqLruyvpexOK4oixzfK/9riz2kOf0rxTxRBKv
dKKEprIsh2FuteGDGXRM5kMaOFCpedl6jZBZS1snDpJz1A4L+C1xwJIFy1Sb3wrDKiQpjVlF4x/9
UN4XEX8oyvAiqdj3Sg25g1J+ZWlxatU5GFklGK20bLHstW84yMPfURfd2iQ7B/BKKaKhlTrm92nT
tLBCqHbM1g5mpe271mAwF/bdDjKKSzfXsJh6WHp8gOcMyInym0aGgb6NapACBJ+CcXrm1fo8NpPK
4YJrmbRWIL0mFZKGaSJrbkcuS/Ew82K9MoJBz3NRRnNdi1AWBbrMPGHMmqTuj0mGTwffWxp9eh7E
w73RUyJx1z8aTRnd9UXXOVXbHheKZTLtRexyv3xscxRKo0KFk6fZfWhbZ0FRPIYD145PUPqly6pj
IyP3nNSp4xWARsK9eV/HyLU9G8RGe8LTwnM9qz4uItAOhX4UpGVSpQnMNZXWrSkT5BvVaYVw30iU
+NkMfFM1V55W4m+SKs0v/n+0iN6aNiZUov3OGHobTHkJxDw71c9UP91/DJXL666YCE7XM18c+V/G
ENTDrPcjQdceG4JB6yrGV/efwWGqeL3TFK0jQHBwH5gwP91/Av32YEA4C8qGncbQpvwjxhBe2zob
/r+A40egsa4FyXoKHScguPjWV9YDzYuyrrtLWMli1rReUIBij3jsxLxtbizD7E+jrsniGUKx/qZz
1oAgUV0plcjKr2/e3g7TbN2qecwN1HBDn2foYsLWm3g2uWFZX8QiqJtLUmb40o+HzIO1mFuB04Ga
ErJpWf2NNwVoxCq1demUURWDOzcozhzYmJs9Ca3RFYwR1C5JEnw/mIaNF71leivcG7ib/55jshlr
AFsSOqVBeAOCKAICONBRbcRxyAPAtteXtDN9kETdkNw3UPxA55qDQwh2UYcjN+SeLQdu9aHsY0QX
aVP12K2aXD8FnVLYAb1lukqHOfhtaYAaCAaYsT/z8yi4jmtxmioRKBey8eJBBeVZnLRmNwuVYV2E
VdCki98/1TYMcPIngqMu4EhIsMmfH/pNAIX3ht8aRaIuM+2Jh9y3MZEsJjA1iqzurtuuEneFh5O/
fn/b9Vx7OxeheQ3HNqdwviy4DYSu2XpzWxN1PiuUn11m9oAvcRzUl5kCFWp7wcPv7zT2ANZ3AkcD
znaAc1sEt0fzrMgYKKQqyC/tArFl2eZVsvC03RMZF8EMlXUyOBT1du5E1GzT/zRp1pNi80FhokDI
jcE5unA8zPj2UDgTBn6Whpe8jM1lGtXmMk7WPJhDqmZWleeyRwD9ok3KlsgyzvlKJ0KdtKJn551F
K+TQNspjJ+JZek+rAuIigd33q8JoChcZQ8odU+SsOjapNdTy929vfbDYmH++FhtQpkfgYFE2CrAh
qzYz0/SMC1x76TKstPIlNmKdMXDW+8w/bYMw/g4WT3HeDSUYKjnrQofghv/QfADN3wc+d1geNauw
ovypMYuAn/6eSWZugUwZhUm0LiWEGnEIqG1OJ6uyQ1QFml5EEJvyBJhtIhgWne6omOumrp2qK9FN
k/YmxFmCgDsVzhaKVMUiYQVx4qRMb4vETDvJk9b/2kZpftIrrWVhlsW9pWLb9crMc+o8gohcCH4i
ROAilV22haGuSmOgM9/HIpLG4GWpQxrw70xLJ7ck8q/9PqOdTGpeXmqv/KJJalDXagi8yLAnIBtY
PQwStXZ0ngSm/c1DNTsNLBufD37XCKdFAUvhIOw+PDHsqk9l29uDi1vTcIeoeyxUqe9qZPBAthDR
nHuqrE+YR8iXMsBtvPC4gcGyDmLvO2ySrsA8ykrj7zrlqVsUipzEeVac4FIkT2FTgB1X0DS+C4XX
cdmUzD+tvKp2engPC8yIuCrbtJuxtirnGHcY3GiTY99pWnCQnYYE3ixVtHLrQlwFnuEjF+NcH4Oq
Ia2TociStubJX12KgjNSieLOpNpc1CIyyFxZ6bC0rbyaKTAHh3mztoqNrkNLopL2h/KLwnQGolEt
M580/rzTUQ6Lo21nvd/U9rzKvcBNNE2PM/iqBHEO4UGrSRsuIxVFhsO9lkPY1uwGyXTiOVQbWbqo
rHjms7pHNy3FzA1VhRIZwUzSc6pboRYd5d25FQ9D4t3UbanTVPZh0mfVU+AFhAzfVGt0PA2kqECU
54+kTyNNK1nrugYDUsfglHSnIiyHRSNq7Z2kVRgWMiJJfoe4QU+intIaXBuReBCBRqIDuFJwPjLP
A30I0b22nFlx6yOnSjT2roISWTw/jnveBm7fJUKfW0pTmFGtl2PVOjXowrllBJF31cDSsXynhJAg
TDgaq3SeJWElZFKC8vJmXRNajuFBAgssaQ9lzMmVl6ZOIOrWA3eZJ+lMeWAVzM3MTwfHHkyQmBmJ
We2kQWUkslG9r65VaKTpLPdD+4dRNzxELsqJXoTMru1L0/B87zSjXHMzcrJOlUN/rKA4tApmhR/w
dOapZijnolJZOO8TK+2PEQQOCsckEEN3eGf2yaIKy9BwAFby1SjSAbuwbTBOXfiHjKskQoaCV55l
X6M0FekJhVhFMosDbd0OtYYwc2TkBJ8FbaB4JnlAAr3wqqbI7kAZ09PIH0g8ryEUns1ynfjDzMbd
IBw7AmfwIrV7mNoGLJXK9TCuTytqmonre9SvwWNsAM6QK7BPsiGiwyqJoabOtYGB1KV9GpQnGIXs
2A95DGGgOC6pG+ah5w4QqDCl0VaFuI68FiIoNCyjQaZFNBhnyEsYRJI93wR2BS9muA+G/CQIcevP
YsGCVq6/J7EIBYRjS5+WTteGEK3SXWj8XcFxQr0hQ1hH5BIPWTiE0m6YQb/0SUvqS6sQfe5motQX
Zp2BSvIVj4FApBTelhcGOPsGuZUsOC37NOnmqjWH8AxrX39hETGXZuelnrQxTN55nXWczpQ1hMB8
jaPUTWgZK8duvVmIw/Jb0rZgWUR+1Nwp02q/F1VAISfR+t7Mjk1EZGZ7MI6Z5FE3z6oGXw5dQdmN
0ib+grUB32gtQ9mOxj3vZg1EqMPjqiOkPcm4r8hVaHDxkKFyPTmjqFQLnqhAXXc907aDyhawCSBg
k7q5AqF7BhpMPFAbwexOQUpWLnTc6/ITcJg8ch1VdRzfEjsT7KRjUVtf6E6vjc+g767N2LC6Wd6m
cOs8H4ZGdiTVwwLFfP3wa9ZbkE/AV5HiS2Zm8BQ1xM09GcR5PDgibmDpFAnEO26yisOSr2qwCny4
BjKVQAjtqsSsrzJJiwDCYkFbdfVFagSFkiGqy27eQV8TOuubkqyFBiwmB54IBEgn8NpO1ln6ANEi
cWo3YWhLOzBjmBe9by3bjAIbXRX1t1R3SJ35YOZGED/I4ujOBm2xUBnCl6Xwy28QorVKGbAgJKe5
7Yv6zAtyv3H7ipfglPOeLgoCr9VBvOwf4yQ2r7taofy4RH0Tf22tFIKSqWekEBAQaxkSlgkENC3Y
CTILSR+oeWGl4quBIOyYtoVfSs5AzPVVG9yGuVZnIo0j0zVJRXwQe3DquWwCIh6qyGj8WUIyWCaD
4VFxwrIcl6sUBHJ/Ckdswtpo1xJ7FpkGvNGuGZoZKJm2PMNVTSzHE4luQNPSBoHpXUZ/V6IRX4we
zPTTQegKP2mV9QrCZpg3J2FLYKguxcHgsNa3/JMCYGkdI4aY3gBxZH3R9TyBJIUqpc3VMUu7xjwe
WgvAiRFWw6JI4jy/yKyOnRsasXwWlFnanPl9W0B4xVRp8AUsEfWERAZiBEQnZHTiQLUQdmwbuwQt
0Jd3iV/i8C+cD9Ru5AAWWH9faGoIGEx51SzgRuyfGl7Rfg98ZDROwpUVn4QC4ZtOGd6wqOpShbNw
qGGShkRHkBWMk8G8TK0iSWRZNMi6YDhgndODdaNmbVAAaq2dhb6sBp6C7FAqmeGOdpXbJMSuFoNd
wuyPWedzt/d6pCB+oazya2v2+EsUVDDXQNOJB5jrqbrORIZBwJJCRHM7DaxWdvU3YtetjWUcN/ze
JFnZuq3pa3bBvMRubktPiQqUO8zoWRFSQBMcB8j7hVTH+TmvioBekw4l1onX5RASCrvO8C/iyiha
N1UeyAywxmp9kSQe8F+J2J+rwI4Dt+0QOulLBuu+h2R+KJkX7ClGchE+VrnKf+hx2uht1uhf//ty
Swjc5/dzS2Cu1mr5NgDzUoaxpvoZToGqVA5dLzHEKsBNYhSM/l/hFCg6h3IDGxqbm1DxSKCg42c1
hYAzaCAEA+XKwoSuIOu0089win0EniakACBPBf4Mh2MqPpBbgoqJkWsEuSU4O45B5wFgAQ5lXl9/
48N2reeDKvDYVTwUHBIgVp7S75CP194ViBmaphcGmLXHtscTx6iDu575TMYWK9yM1AjSqhZkXpIy
ntVCM1eZKTpGbRy5dkcrp27yJe4H36nNcDmUqnNTCmGBSlmQdPZBynvRdVTC2vI9PStSxWRjw/q2
+wEdh8JSblxjD0zguJGtkTazoNKJG1j6rM4KITEPvzbYuglptrCStHLyzs2aYRGWupUNSiEvHuU3
g98+5FZ+ohjE9MMkB9NFG74jQOLIsBqWIqpuLAti93UK+SWRkGuCdHJRsyGfg1LPXOIlOdjT5Q/q
+cs6qrWTGnym+1XbEdMFn2LWGNR3kzS76Aj7WmR+IZXdFlBJAF5URdvCiQvId9HcgJiKLSoHN90Z
HcJoRqphVdvevM6bMyzaBeZgoBT5QlE1q8DsJxFuwHKGmP//Ze/MluTUtW79KucFOIFAEnB5aLLP
rNbV3RDlphBISHSie/p/pP2vvb28utjXZ985omxnZSZozjnGNybd6H8bIgx5Uw6Px4291T/pZd2t
DMOALfIuFtBix7p8DC1cO6WaXQ09ZjbVo4qcdIC1APzjKByb4BRBLWL13Yiv1NYU+sFcdno7wCrY
hLw5EFZ/1r1QCVSgkztGJ3SGOqEq1/wAE667I7Pb5G9Vpwov631T6DtnHZZmWxO9wDiT7suyVpGB
MSa/eMzfzAJ4QunZL1EvNmBuimQK8ePSTt9g1vcJ7LQorsd5NyziQnUeZs40L5t2EB+Tw4EwhMsr
d6PHYZ3vyEjeoB8Aflhf4V9FCWe9nwUF/Vp682Fyi+VNiVZivG0wscPoCkdMi8xtdxXr7lA2d0EX
OifMsY9LibfVKNvGRRHe5HNfJqFYP+ADp1YMcF4kj7KBL+5uDT5IZSiawOFpHNAB1A31YLR4F1lE
/pY5JQZMjOoNYWkHrSxxjPhSwAZIoLivm3CqAJ8sxdZz+tdyMjuD2ybRoZ4B+4i4Cfo1GwrdAKWQ
+3mieRJ2zu2SOy/d4B5445O08qpPLBcF+nkviPt8iXE3p6hfOxXIIOGDOWjWT7HAtGHbkIGJkR+9
GG6amr6PfX7iaq1iuVQXKD3H5koJcRMdNUaj2PP9ManQmnSiFHE1jNO2nVH2BuGT2IsQypLh6woH
tlZs7/bFqy/95mF14EA4IoQo4LFPgSMeZs+Bjza9tIKW+0ZE+3Vuj3kRNsfc9C98zrcQ0x4czvfC
D2+cqL8TLv/W0PVS191OGlybK1/gDRBtUygL9+NothLNWGHLbVeJKJNzpGPcPfytH/u98Cp7n4ej
gBigNvU8HfnQyx901n+xCR8i31+Xth/7cv9Y2q7/6l+lDdhEBLQJKO8Vcrhq/v8qbdcFF0F41Sxx
IrhXYuE3pwB7v/EjlJyAITgLs+rfpQ0PlkdEi0VgDAFd+AH7T0oblpj+WtpoAAADz+CLsF0JKd3r
z38qbRSSpfbzhdwwNQ1yV44jpMmwlecqVwldgUGJ9TlHGfDaQW2nAn18KdAyizxmpthGucI8DB+y
G6Cx+gZlAtcjeOejzYuE1/Pen3sMvztWOa+mKOAMw+osbkgVFWdTYsrjDJBBQNY5lj06RVzbXxWF
vrZYJtGsha8BOkRwDc6wodPwupp6N3koJT4bb8tp8LNWO6iGvntcx3m53qfnqzMDhwFEn2MXNKbu
t7LpP6bV+xo6TZkaK0UCXuGhDmf4nDN9nRbnuVspjyFsphUcnGRco4vmy3J0qLznV7NtBvgWzzlc
YyAy+EP/wXJL8Rf7LxgEU+IZDwdQWcZ5jmMPekkbr8b/4soXttwKzMtx78I4njo4+ZFI82Do0smf
Fpow6c51rIXvD2njL9O+6/0heiclzcesnLt6J/QokmjWcueWgBpV5dh4oHOTuTmKBvyDOeu9UG3c
ZZF73xs7kvASJ/pSTMOdWFqCN6a6uxEe0NY2Y4vTVOGj6vMi7jvqxqKtrhyd9OK65S9m7TCCWzll
tKNhbAzOi+Hqw8+RgXwT5WzLg2m5w7VJ48pWYLamMRHoHw6RWusYJnx5zplbpVNk+4MoxmA7d8US
a4pWMW09HKCO8HHSSfvhRSbctqK1IMXyYke483kc8PXhia/oGUblx6TVVQxXxOwoTsII5GBsWyiB
usGl2mFuV67tE8MqdRv6hcxIr3ksnaXMIqIBQCofEsrYs20oMDvOJNpCYRLAWRx1G6ymOOCTg8ec
T/o9NJBWvaV0d7lL8dm4jhtrb5SxTwYMEPAfJC4nR39uoIfHpi+9uGe9gG/vdMcpMNOxmGy3hVEF
QxnJjm0zcJXhy6Mg1thHSQMK7lB8EIf6295dHBG7a+1vq6gBbBGG9LNbg2YAn3NVeMsgLuoO9GRD
xwxEBXHwW2qeVtqqz7jnINhWnrubVqmHTFTh6mazH86baGRd9aFqs+xCcMp3mJlbVMGgPw45QNSj
D+ygc+dHBW40VS6AVu1HcmNU+7Q46DvcNR9iE00m68WcsLF/dYr2GWFgMBRhNGWiXiHL1PAzKjeo
42Cpnog26FH78m2JVtRKUYjTYsMwpg2E9dXeAWMOY8ah7xkdtPvI8m9CjW/Whe5YhDACI+djqoY+
Ybp89Z3qoCikY1DGWx92WIK+9XqIRGd8FHsrow+D+9SxuC6GOnx0Q3bbEnFAYxHEujOXwKVfPB49
j8qZU9LNt8Pahfuw63Zm7R/6NfoE2DXPXJhySWu7bKxg4ZV5uWx9b62SSoOICGt9nIo+6UJxX7gd
dLkib2ILrevI3PV9hvAEKsjblUYcZJDfhD4Y2Nlv0wXoGu6Usos1LrarfKxjqqPycxVq/cblUO0K
fyyhgQAMnkFtHJApAEjDTR9TNJVRz3BmuVZn3G9vzeQ88L6ftpWU5aHQFreyKZpMLlOIXwlYyOIM
fAMChce5mYq7mkQABnC73NnrzbO6Odis64sODRNZlZfR1u2b8l4VXZOGHgQInDB221cc1BSbo21D
yZKtFeiuyoJ/c/Ng2c52qaDbltAyg5pm0Qp1n3fsA3Lwmkq67pehunF1e6z96sTsXGf+5Hpbf/JV
5qMN3sBcLjcCz6MDWpuTlLrG7Dw+s7SCel8KKHl5WXpbz79ysxV+W1HjrvWmycRK+0XMBZSLpcEp
5bY52U4a75R1UF/ECPDXVoRvnUqiL0ODE7fFUCS6VjTGMfW/Ntl/W52ryf3Xrc5vD+r6Y7Nz/Xe/
NTuIuMBh9gIfvQSWpl83Zv+r2UEoEUR7iGXqIB/QtfzW61yfRQgggmDAp54X4nnA/+51sDEGeBHY
ATQm6FP4fxSKAJf0a68Tfl8n5oMOxSDvkV96napzpBesnrip3ZXmZ+EN7G0mrgj3rNO6uDXOxA6r
bfkbF/C9dpGjMSRNszO9QhfrnyJBzUMUlWyFg2wns/F1MDz3PuZvyLMqyLioTExL52n2fODKxUoT
5SFU4M38Ngz11hbkxo78sVDL+1Ss7zDRKO6/e96HKKzc3XqqLm+8JcCUIzkMmzy1oH0Er7qY9xjI
i27sk8Jd3mXbjUk7ofpbr+jjHpUuXtZQwTMJN0qPc+zoAEeuhWhadABXp3zX1Pyejuy+LjlJJRza
JZ8va9gVaTSS91a3D43vvYmw8mODvmKjdWXjwlvBgJURbMnRlAkA4PuKBydIEC9eLTeSa3WqO3O0
Qtq4zb0wpX1AgHEWXQyxF3GHVd6PsFZbujZnH3QE6EFKUO0w2HU11NeJjlPcKQyWgz+jFOhCnZD+
z9agefF5OyY9cZvUut23Feg33JDrGdHbneorYLj1jki0TUFQbVC8EkrB34WeB7UAh4AAOo5fikxJ
MYZsV2r8iY4zXMXIPGkhvwaRvAupAEWvvgBNeORmQDUfKnrKWb4vG+eubFr4XiwQkARMHheWnwro
TlC96L3g/BG8agX2NPjKjT6ui3/fLCE0FTdUqdZBEDejqZBQmY+6JMngTmNMjd6q0pljD24wTA4A
sq1+qnivUg4gb0NmwPjN8KBhniTOhKoj3HBD22C82LBAZGTpwyHu6H6QvH4KazbjgLd36zjymPni
olcrkbhw/bRa7KduqT7n48R2XHQ2Bo69wWj/zL3wJUCD7nXkHSJTGcPfja073jtLuGnz9UbJEjq+
t4nyW1ys5kJHe1KRvF0X/lbyCM6iXMmmm0sQu5Ec9m6zHAeOy46w6mQ8k4Z1h1/cCZ/hVjsxRPky
IdWcJ05XbuQkL6ypb/yoOyKofjv2YRsPVwmiCOjG8ds36jipYN6nGvYcZvDg0Iz8ZiknRGm4PTpR
vinG1qR13j+GVfCZO/O54/abl9ePQOD2JOCnapRk74qAQxuK0FgYfA95VX9VZMIttgLIDWdl00bz
G7x5Hg+TeAHiXMXErW+8nNy2jG7aSH52HEgNBnJSIKSKa7++RWYjPGlfHBHv0M+CI0SjFuXFDrDx
o6MsvEw03XHucp4Edf0+5Tk66EXdkT5/QfRlQeDCgxgV0V0Urielh7MlEjIIJhFevw8+7AmGF528
uwrzisqjvWiGm165W8AnOx82w6bMIb9hsz2a6lBvFqlB+MJgxEEbL0wcYD77x5J0+q6fZd4f5pHM
OCA0YiGev6YRrMAdMOdnRNhVXBiYHnFbVv2mVe6wBVMMuUcbkzYz9a7G2sFxS3IRuLHAV5TsRgcY
htjY4csZgvl5bXVx3xGijhWt2HbAR5BNylE7EjgL0EoS+HGBacONRz6I3eCgxUOXiJdeGpdsnCqX
8ffq9P97mb7uP/67Mv3/FGIpX/+gtv/4Z79V6evKveszx0L45z8UhH9XaTzMBNWburgAIUh4v5bp
CBt4KVR3cI/40W9qO1Y6oqSGAeIfUMivGv1/oLaj8v9apsGWY687DDz4+270a5IjnIs2sqFA0g/6
5CFUET13ej6GWrUJs90Tr+u0rSBWaBOo9ZswfYtud1kAVADShpev7iLRaHDFiFcV9GD62uDC7suY
rBjkA0mcbalGjGKN2BRyFHuQHgiWNSjG8OIKjNpjqzd1ANnzYSma10gsJnbwkKc4gN1eJY3X08M4
O+uBNXoWebKES3mwSqaLlzu4vLuPItIr+D833y7EgEQiMtorW4xPDfavHL2Sy3Poa4A25UNjfdFk
Yb24m4aEZTp2jpsGY6RT468+VGpMmZhm4M2R6CiDbsjagiRs8IYNm5tLyCBTjr6JNqOCiOLkA+Rx
oaddN/UX0vcRohrtazcVp4VgdgNV7vXeGePtcVqvxQ5xSsw+uOGrMEwm29tM4xsGSu8MGV6s+Mgn
w9+gVY9IdrFWoEw4YENET3ZRZ++F9B/CytV233zPDJbX+CAQokRfA4Xt92whH645Q2HzYIz9IKdb
n0wjAgQ5+5C5nfbXzWVbq6VM11rfLlV/gXVy0EpcWtc7hoOzMf10cGqemhW+Xqtjt1oTVjZfMYHd
l0P0+t/DA4FdrOaCxPjXPT4WrCIMnVwfzvHHNv/7Ntb3/00440l1SD9D6MJTr74nt34+QABB4jBA
k42T4Pp8+N/suu+LXzme1QBV86qF/qRpYkkoJFIPD51HWhALbML/5ABBrOzXAwQUNVRVnG0McDa9
/hI/a5qg1IhSHTM3kP4ReRhmLyHTsmQzNLzYmwuyn3K5Uf6y17X2mjjS4rWOgkM9lhuQPFusgrgE
tt0DK7gBeJC5tF4SVQXmpMrA4FjqnhaXvoCEBLnf4+AJca+Mi3zkXX5TucMaN7KQsTZVcDcX/nq1
1avGzVTIXXRGbHJhrruXFVHLNFrpuAVcphLJEE3V7iCSkkSYwNE/kWJJSVhka25KGFrM7Cyf6tTJ
6WVeGmSEcVsm4P9ZKkBApuPofhrJkAZIx0ze0IONpDLhLrQI1rEvHO8zaa59WRsBxYA+gEARKCJY
59UXgEVhtuRGx7YWEv2M2KNPz/eqQT7UBQhotONuXeOrI2POdAI0FF2zFfC8uupT2dYydkCsJQgy
3xjIEuyqqUwr3Qzc4vHALUQc2X7iQXHTtGSKfX86AR9tN36b2zgHgZxqRzXJRN02iTp8prK156aB
JyQXozbr6Gybjh2Y9p7qaryPoGTEwKhYvE5kF/gtBGNZfh2Jfy70elm9ekxsQH1oA92LGpwktziG
ZdmcLAYciHNelBTSJs46D4mR6D96g7mnAS2RKo/vq4HfyRy+kz/1U4p2MWtpHW4mx3xpPeToPLe/
eD4U0tbZGrc+1ZjbEE4/+v7aJTXtjy0QVLxof9uWfIhDiY/GHRebUXh6vS6SvrLbtvXPARNyM0TG
SdqxAuhHdCobB06Ocytn059X2Q749kr4xCG/R9k8R40yWbeMc0JrGoAxgyfmGxBfig59Vkk3QPAl
z/qif5yjWWzGSp8Lmr8t7bhslBMC/vJ5ygb3ibbtW+W3QUpUlS7tAI6tLO4gNJ7IXKdAUi9tH33t
+NSk9djjM+z5vmhLEq+cnQbb35TfS6/5XoYBJ8odut00ks0TpFwwout47MuVnrWVzaHCMW2kez+w
7mvYLEmHY7zBcY5UftrgeI9wzHc47g2O/dKYw4wyoI26BY8o07YXFtIRagVH0Vi5Y5HHn3y6Lb8X
FQpH+8Hj67lokW8nqpw2xTXzPvkcr0vB5XTbKUAqfkE8flr924699tfUfG2jTxqpQIU4fed1iOAP
bD8hs1Q0661dvV0+lhMaanuHwy7uEM1HHgQJrBIjU47Yvt8Pp/Ca45fhcDQI9gckSPKleFiRFIRE
BolPXLcAeN2AG6UO9DYqCGLw120BPtYGqOv+gPa6ScC77hQw1+0CjsWVoxtSxfq6e6DGEoIQywgC
qj8MlhPU1y0FFOsKVl2cGJFXERGbDDD5IRDU5aBeq+ZzaJ38FElxLmdEyRbXva2BLMATackNRLlv
/grUyV2nb7YHQ1jz+R5ORLP39fhGTL1pKdzpMjgjkLmJQC2lNfYmJCHtKaTA4lnPkU3lhCR3uGzH
3KRu091GpTq6vNqs1zA7a/NLFQxlikZnZ/QSHQKHfQptnuKVxwTyzCNxmbcVDAnHtSVN1szVnLWO
d55xG9wGJrpH67CbFUXsTo1QmTFfeU1F4tIgisWCIcV7LdHj9TQBb/suWgAAw4LpnyuwS6FBC/al
bIJ70LL3Ep8J6gBJvAIzx6DC23rwNq5A4iQfJY2b/JrtXTGjoi/ZirYN4rJS2C8xOF9L/HdhiAQa
Y8VBseIiKk/G3JbjkTpEZ/hClx3z5vtZq5TUjUgLU5LUhnoXzW2I27Yr9rOZk9xB+M8/ChhxV7Ho
ze1XOMB1FxczZXFB540j2gevRBB3XbqkENxmc3lNqxb9F+Q0ysTp/W3HgjUe2/Zc9KzDVdM8WDaf
qNtXCQZndFE462VzmUyj9g2ZbophvncXk4GfWzaMB0fTRjuHONOjWBe7maz3TUZ2jvsguKtFgLij
Wv3kv/3Uj37qbzXTH/3U/y5e/pOO6vfCKRa1ULBPsH2vTOfvhFOOFS7ojRgeDvxznsxn/5cQLNNG
pCwKA9+lP3VUPkY8D3vBfB+hKyxTof9RR/VrPwWzGTF99G2ej6HR/yVz4QtcLsNS04uo39b+Ms8/
+m1gbX8e3v+Tjg2WNnIdDM8CQeSKBehTf+7YbN7TIWezvQBnz3BRfywNvai8umfd8AFQM+2qrkxr
Cn+FOHqPJQA78JyZDZom5g43WzP5Wx0gX9m7j5UVG9o3Xx2FNIQXnSzr5qQfJFhWoW7AxjB58seh
9W8AKxrAicioF/gQodq09bLxzbJClXTZfhZ9/jEx9+z7oBjTZSiDlNJSfW09sLwQwFRG4bvGHTKZ
LxVOcdQ++sWKud4MJCgSKpHqArJk4oKEN0ETOGgBu5eoK/wMQRxALZROt9WMeKzvmWFDOqjGwIGP
Y1e+Sc87Mc+DVFNjBQrkrp3SZqc1Fq90yJbkTG2BR51DUcDlWfWb4yIdSuj8UUsHOxCubUaNiK+l
YVpATQyqGvoUjvg2epOug9yEPQyNazBRL3ezDA/VOiNEv8LlHOShDYL3nECXHQLYVWCjrCzfB6QF
cE5gbmbhTqHPcxD6YXpKRe69goiH6BTs6padqG6B+HjjWUFq4rWfdU274wtOVUOjp6pch90q1W2X
G7RdqzgOpfvatN7Vy6oO1KGPgyLySm/BeF3pA9A1k4h+FpkNy/2i2jJmFWNQ8/jWbcs+Nly+WRpl
k9vB2CyuqMswbkA2HGZ0YxEdn6nxk0mwC+/5K1bX3MgS6m2do9nN621AxzPQ672B9V7M1bMYF3QG
0bRT43QSnnrgqIkYlNWzp/snkgfPPLcb0wH0WtnGmbs3Tocm7oZo6/j9q8GbRy5k3jpAGSRcATQd
SZez1JfzqZmqEHov6De6YBgZwh4hvAC6Mg/ecBdsqrJ6LfIc5kE/VBsHC5aCpv1YTLULhyqjfvNm
O/fVcdyHPsDMLsEjjHOUuEx9XmV+h6z5GoulOElEKLekaIBQOAGO+ihpGysStBtV7NZwGQkwWacR
YxauATuHc68PZcnX1GnImDL+UEX0xSK3t3FALMeg63D3VNODS6qjY5sQOMiEktiiy3EIu59DmBN2
seo4Am2LEWbrs0g1IzTuMs+mnl+KweNZyfiTy5Htjto8/IzUBmhFmLYmHhsU1BREfd4n9eKA3KrK
sbzMXclPLZb3pBE+itiXDaA8B/1gpYxIqUDVVtZxs2GlfYxYo7w3IfcGtHXAtzgDEI/w39B2x2GY
bxrEEPdIOlJkY+AcE6/tdywMq6wo7YmTAqttZKO3ZGXbHHEQZPY9LKKhqkFIpDVAI0p1E8Auh1Dr
9JDb8Y7zvPnC1uWpy/33QEL38Mm5EqROIgIBe1HOKZce+E9FGHBQNkOKNvWDYdbBrRrk6tlKfT+N
3ZQA0bmhQPhxsiRdRVM/IDYFrX8M2gAHIsEvHUx32vpF0sAdwhl1KNp8Bzs6q0YoUutwAhWCfkqc
XeU+S7hDvnUPE/icrZ7lG61yBlt4AFSY8yMZ3DnOaRl8bibHS1ZQpwCjkfd6lKSeNmPpb/0Abg84
7DAR4SqztSy78xrKi+81OwkqjbS8T1Tfx3NtsWNoYimOvL0HJywrfN7t1TJ+4k7zWHs1+EkY52nf
WZEt01BHOHMsKERu3jQdHJy/zgcafDddLMZ1vBxNu4bTG8ya2Li1yGDcjZUYtxpj+BZHv3jOW7yC
Z9Wjrv0S6I0bHezSgRqoiouOGGZNiJwABTwBtyV4ZC1ilzGtKFpdLOBIF5rnG0QlHnm+PIaarS/I
8pXQ302/YfDo4mCaN8MSYuR0R73F0goDHw/UPxxn+9KVKtzMUPwALpZIZQEOHXZ01PiKp2bjw/hI
l9q88rHZa9g5c7Bktjc37hIcZLt8ckWVjSUiJqYRn6zywKK20RGs+7g3TtWlJlcLdoQhdti47ivC
mn7qz7R9sbwhaWOgu0uBCz0oLeaQ3H/x5mh4yD02b9D0R0ll3eUH3feX5RnK7k/BUHimCKRzglYj
wmM9sM7nFznFq2vuh0WlEW+rUiTq9jCmsG+t/6cA7Z+/DhbKIdXp47b/tQlAihQ4rtCXWqlzz71P
OJVuw7p+w3HZIQoZ4QtY1G6cm40K5a73xEkAAQo9fcRJdWJ5H1fw80Ru73nrZr6AKYslNrrIvxnL
QUPhFqBreOFuAQHsXzrZ7Y+Q7//5ad/en/7mDLFULFZG9tb9hQ9ntTVQISVColhlUyyPboVUnTn9
/Yv8suEI3wOegwbn+grr4TPChf77JqnHFL3UEjl65Oh66NF07xscDG7eom6MIxbHOOMLEt7mTke4
BiN3P4XYHmGWBgeV796tVY3tZKBxrPCjB42qBKQai9oI1oOZCaXcQ9AGUN+lBKqLtXn4zD3cN7ye
4NNgg8o9I+pdDiohGFu36wSHqyc8E6qUmRz8L07nQZHubIJTiccLjUhiWsBNopNQshq0NoLv29X7
Bg7qfYaabhkWZsyBOi8YCuMACfWdS6bq7IqmjtcZC4MKghlSRNiPQ8riKbekfmwRG0kjgtm3brCa
DU7pjkPYHg1KHLlqYlhzkEHfucGiKp3OK/gQ4qtT7r5burEs2ONcfA0d7JsJoBwtFX1V12yiboA3
NeCofajvK0XrAWH/utfDmnR26l031AxBofkAl/Rdlp74gll96/K2TgMlzp5ZVez37ab0sYfGYhys
OVeXCLwO4et8bIP+x2KOv7wryZ9eD7ghQ1wOIR5ze33gzs9Nc+4jpIifDRfslXz3MaenazOqC3fa
PsZ5+oYJESJkLxLCZyg735c7qTM+FXBcQgY7gAPnAeM/wMgzM+ELFsaITV+zdmOtS/c182D/l7JG
3mAMM9fQegfQuUknpPxSwNfoR3AQubXBqkPWPhR1OSdE9DD4YSPEQ9PGumk3iPoiFsPfIyzSSEZi
kMiuvU/cW9A7L8A4B5ICfWoB2zsSCgt/AX8Jfdb7yoNZxs2EYwA8OtfzYx5VpwDceGv8B1CjuEIA
ZC3eAxvHs6zEQ1uCbQiiLV+Gl1BirEff6Ga8tegF2zHrLShFhLCg6VVO6mIdYwra8N3BNZE0kf9K
fOeFiLFNW+zPQMzK3YwrXHpnNhmh3dZ1q32kx8wzyBiLMaUSnlEYTscAm5smMvYo88DK1fCIMMMl
Cud9b5Z3cFBfWh/PTQ14hk1QZ2mh743yxoj5FGi+mQxNRQBPqdSQ8qLyDuKf3CP1nSG8mHGVg6JH
Q2N4gbkEN+PoRHdwqz7KwMlBArgJtVhgM1jIvD0yd8WQYKMwIsL+tvRB/YWkqDNarNBV0aFKK04O
FhFJMj0bM8SFU94ysImFMBtPOscaVVxMBahB9To2MIMRcgU/gjWZBFVT5dNmQHnXXQ0cw2mrVEln
W03hca1kHERItE2kmJLexaG7emRTEQAoU3ibh2RX6AFsZHvSIUPXOyikeBukPxYVHGgxHRuvgrd3
pS8BJxLk4EGAIYvr9JgSFAdtg7yxxSLCfLrlLAvkhD7mUs8bvmwM3cFXesbqQzB77pmzrsvmnJ4q
gVjdmOf50XpjkPRYHpcE4Ce30wh6Hn3DziyQyBce7LoRXUhgoB0FIG7HvCP/UNqud+K/V0P8OLl/
ulOvfPjPd6onogWIp0QQF3V/7M+1nrH7BKTsdCO7M8HE8vel4vcO6h9f75dK6gmhMV3gZDDmG8Em
hvn+GlApXia6+/sXum6s/cM7A/OD3BagrgCpj9+/s6kfsBDJHcERkaVAcm/ukzL3rkvFEGc1Dq65
eTw2TenGBtsBz+E1dcErg21jFXDVCf8v8B7nA8T23az9EEamfXJKc2Pc4EGhfcPUkwy99zAXyEXp
odhgi9ibruizI1RzX1g5Zkwg3l0ze2SVC1+BZAu2mCVo8bZ68INn7Hh5aFZIcz47WB+7tXzvuBbL
nmFvAaLCxw5lG5HKo/Sg0GKzLNIaCTIqz3XTZaXK91ODvXxqDsGw1O+ru7AEeyNe2znqnr1rIsvr
/eIfPtXfr5/58fX9/KGCiPv5ckFwTGPtYDhfwvlNrJ+X8J+2aPzDl/ZL4XAdhR65kMulDB+aKopb
/9M/XBZ//wK/bvypeS1d6RXLhXm3JWAvfEyuWH6oin9ZAK+fwq83FQCGkKMlJQw7lX//Kc1Bj3w/
xbtA4ssbvgxTjZ7kUzkH//BtXJde/vRC121ADNgDIyi114Uj3xen/BSRWKoSuOnaIMcUky8oaumj
2vwPe+exHMe1ZdEvSkV6M+w0ZYGCN+QkAwDB9N7n1/e6kEhBoESGooetN+oXr8EqFLLuPWbvtUMf
UpibeA9u6T7sTW88e75OvPh+Dp7yYHnmG93ttP3PP1UR3/DujfzwtX57o+/eiDMmTu2wtTr1m9GX
PeTeN8O2uIo3TuB4OSjaLZ/zhh2ci6Q/cPx6DPRT+fLzd2H83bt4/3SKw+fdu8jDDk9Xy+f+OO/V
wHL7jXNpuYCg3djfPhjemekXW+cUb+ZdeWPsbkM/2s47zj133UJ76nxGZ77jYy/bQWa5iNmQuJF/
X7nDSfaWrbF39tUR+cJdsbn5+Vv/yJB+q6Dfv/UPFbSkdkkOZorn0q3cetO91pv6VvFB4vmhH/tJ
gOrjUG0vX86CYW94NOzpIXWdQ3pCUOyFkDncL6F3//N39UaT+vFB/n6Gmh9uhwQ+VGuZvKt477ix
t+6KbXhbIiL0kNgj63Zbb3HzrX1qdupnBmnBz19ffE9+fPk/v0cfThuOGmnp6mU+yWsVWNN0XKXs
NA5y9YtLSZwqP3udD6eODdRwHNd8OVFTo0d9kefdZD4vGHjknlHU5ue/1d+fod9/q4/NpFRw+BtN
OpxiPBtLeF1HV/+3F/jQ82mznZtmQQOVGUc1ZQ7o/Iqx/os/zEfUkVTUdmktfNGq+tShta3VxxUU
5//t1/hwinYKMtrRSvvTLP4qKwLiOfV+/hK/+j0+PGADpouh7IrlNLGzTswTiByPpebPX+QXT5f1
4VQyw0haGM5xG8ympztlkOX9hQYqA7msl07qaWRl+/OX/NvfSyhgRIi57Ij1y/uD0EZJF9ZJP5z0
4mubbjItZsi3/flr/O1j/O41Pnxp8sjpJKyi88lIdeb3V0Xxi6nCr17gw5G4ZsWspVUznmQObYbR
mZb/4mN6ux9/9sUXF8q7CwOIjY09nOeY3sBtvOgw7rJzWgTv0HpxEF0MbnH8+acmgAE/PWvEb/3u
JRXmf0qvxtxRjwyGS05V9qUujp0nUFv70b1cPRgrpWsEhae49pXkXveBuNUvPzWX2oGuHS9JsPTu
rvTi7a/e3t9e5O9Ll49PTtJOshLypVMuxEUuuR10sn2peG621f2H0j3I7nL8Kj/TnLV3y3Fyp1+c
XoKb8NNP6MPffZQ6M26chVrCH/3VX1Y0hq5zzP1r52SeadvB/6RuQrdkYrtpt/XW9qRfnNC/egvW
h3tPmgdJL6e6P0nHyp19JpvpF2Oj+NZxeJ13dVCcWVtpK33FS+3N2+wi8tPXXzwn4iV+8mhaH56T
bNTQ6pQ8mu1m3jQu6gJR1e0z73bcz/t9IoqWU1+4D/IGtfmm3lqX8Lr9IUAz6saf81+clG/S1h/e
z59fd+PDR2JLDrsh4qZOTaBvTYAN/rxZN+sZMCb3JdpjpPLsPdAEtzqbPesusKkOyqDfZpubxBdF
wh/Fwf93HTWsEXri7yPeH4D4+6J+bZOn/Metvfi5b0JqKLBs2Q2w4QbjWLFk/66DVMzfFJm4Hxvr
0l8psBqrebby6CcdfvB39eQ3ITVRuQp4EdiLYs+OOPvfbO1pYP/ydDPfRITJihjlJ+m8tuN8eLqt
uEE3LTXL+ayhwd8ouFKs89rS6vCrzMrYADLXy33FOimRrRUseIaoxw2JWQiQemfXoRpPvl2GFOPK
aC2uZqovkdxhtnXCp1bJbtDNFZdLhvGuWU11oxlIqtAjdOeVaX6Na3DLGfsfVymF+28YQFB0SRv0
+DrdsVCMs3Xoir1U5j1fvSwrF29miuWlJK2c8AVoLg3PWWr22dExk9InKmLZtIZTs9JjKpkXkJYL
R0FnlSsODpXlkBnJmV314ZFdHd4kyclc0BNs6G3VxLqRGctmdqyYoSOS0EabMzIxrNpvZuRYjc1o
TtalT7mpXNTmXB4I7rhVTPZSYaFDT0vM2oucRTq1qfkylQyQG0j8W4zHX9c0/WxNCYR/fVQKppcw
QWrSPe7aog99mKTcPlq1H+L0tY9W9ZPaxozj877ajGbe+FaXIylcqhjXhVM6x1GCP25OsnTQ61k+
M1hnb5NYRSTUYj9qUerYrN9vCiVHq7bcQpkt2azjdZbt6soyMSQ5YQvUg9wiP65gna2ZsGTJ6Azm
JZPOlJiNnLW0scGYD8xVKGsZ3uBF6bdRIS1x7q5ta7YXMX+7EYZdcr4w8kWZFhEQQrPEv4QazJEA
Z+DSllAhoe7a1/2i3kps5ZI9lun10I6lc5GMC3PgarUJakHHpIUXTlhhzEow8Y6Kk52pleMzpFxv
dFzrs//2pf3v9JL5qv/z6YWJun8LJOz6px9PMPGz304wrCACMKGROcV+D8vFnycYud3IjbBrIj1C
rS22ft+U3DZnGymjqILIl+KYofr6doJZhHrYELZVkyCrfw1eeluc/XkfMnpBJs5Byb9p8g5MIUJ/
X8c5hbUyczfGi3xk5RIiGq3kQz4r+qFcAbR6qVncLWmkutYsndklwNzUKOAgpTz46JVdpU9v56g/
ZvZ8M8rz2RIiq6xxbLnAyKDKJevBSfr7iebEKrS9kZiulocVBIzuAsg7WJnB9Oai2ScrSUwF625Q
UOieLWfetpr2lb0oK/U3R0KSsbZluBi0mQT6wWbZlKY2RCB5cEH6fFrMkKFQri+Bg5bKl9v6VjcR
NTBzVEFARJ5Wr8w/yF/QI0yPbRk+5I7iI5tAK9t1vpFMzybOvjRk5WQo1kuTWok3msmjCRgQq7MJ
agO5YZNYxF+oj2akb22rxlk9aSA3Won1FAscczT8sbJ33YxUd+FLBzVyfl6q8LlAIyGLM8gACZ7I
ToKOOdtm2bxHY1RulHlqgVtLlWtH9ZdIJkhhVsrHmvPPRXuq+bD3X81QXU9dtjwltcHg3UjY9hic
InFkBlJpK9dqZ7W+Dr2VlZGOHgio0XaasqNiNOMn2xlbRKpVC5g/Hb1VtxJWTFa1yRdN9nJWz4Ed
xzKH5Mq0CDHO+SLbM3fM2G7sKqn9MJcWr+dpdtsuiwMGyTDlZBQopdwlx0SumKI4U3+jGuN6P61j
7FeyUHLhrDtfzMLarFOWfaraUSXTzDIfx64orrtWaS5jU032NiyBM7TzxFUteXWAmoilUtL19Ax4
RC2goQRVtWS7uARVhc+znUg2lDup2ZeqfJWR1xXE8VTfgelA9B9yKX2W4KB81e18CArhukFmNwQZ
RpylUIGxC2/OKFw6XUsFiG2nh/wzs+1ssPN02Hq4jB1PaoZTKxw/ofD+WEzj3UH4gZCW4zbFIqQL
r1BDdlZqCfcQNiJos5GbCWdRKTxGpnAbrXqm+JVwIFnCi1S92ZLILLN+9ynhWKqEdykTLiYHZu3e
hPyGxROPk2TjduqwPc3C/wTS1Bf6iN+n1v8d5jJV/j8f5v+T10lJX/NnFMEf/Dx+6tsxju+e8SHx
S4hI31BC745x+EPggvgPPpi/GnKA5IF3xZCjIXMiK4AW8dsxbv+mCZmB0HtQNgrR6b9x9P0A7YaY
h1yBN0iyOL57UzSj79rxqLWmNNXs/EJSmk9RAnluHfJnZTH2uVKUbmry9LRDYLEblEe+hVp05izN
abKRU4QTx2+BwQSCm+S11qBuIkPe4ES5mZJRDWyrGrwxWs5kSi1ToppNlP4+sdXay5X8LDaa3Bsl
EGBZ94TQHVqEon9h+dt5tVTgqDfm42yPX4DoNZ6dYY+TCTwylxGF1lKuAUE9ObgyTNYALHvPGpzB
0xcZVzGy9k1ZLZfqAgtNjfLjMBvID6L+URNmHMiiXyrZPHC7iQoTk0Y0duBjkGsa8YoF3XIuV0d5
GEP8QaktsC8xEWy51fNfzZRkmKhGdFZE7HnDvRb1m8XCgN4IqZY6zfdrHJ33Vnmsw/oY8zuh88Dn
U6jq9ZRk/hix+M1K9TxU1NuQfDXcgRR9qInIIuhGqCwZoD0ivXaFtiQewYMPttFKmIWWaIg8Y2yS
6KZX0/ozQN37ZdWnI1rFi1ojVhAHNdTspv08R1BTy2xb1JPJPWbAPphwSg5aqMKwsc/jSL3Xmo4j
PZku0KuYQZYNq68a2GlWB7Vb1Do0+NVwrUnxF4OLd8tGzlNA8h5RDPTzE9zijV6bT92iVVuUj1sA
QhFy0qmo7h0lLm8Y+dXZaxKtX6Y5vl41GdPiULOiz9rYtmlS0lPI872X+1Lezb2KJ6wNnQsd5/hh
cUImhSy0J8vc9RjlXTmWWeLoznLS0hV3QVIV0xbs+QPAEd9Kivhcm6tXUKjqTq4ioUci0mf9fV72
3zlnMPj953Pu0/D8N8Wq+JlvpxzFKigrrMtUnL+7BL+32/xPJrorFGqkqPx+lH0rVkndxU4iCJ40
wW8V6btTzhF8ERT3v7PU/pXtUBPH9rthkihWLRRgJqQSYKYI5j7MufOebnquZvkCWP1j6JRgsjJN
OqroZck3U+orA5XVbih15yQ8+ZsKnwjLbf3QVjRwUzk3bkLkwVnbcjzoNjzPbjK34zTc5PZcn7er
5MHuJTbKflFIsPTVYtppJp6aleQghwShxMKQSLriduhIXCudpfCsSb+byB3Sk7i8baJowOZcv5iI
NqqhvmsVvcaWpCWuSX5RLoKMKhFpBF5rN4uQo2it4vJK1uwtmW/6paSZx9CcAD5OcugVk8QaVBGC
r7yBxNg/WUP0Ehb2tFGXUg4iWr89ZG3RKEvXuG7ySwFdxm6EdRDRFQruxbL8MDF1L5JWtEohpLRZ
b4PW0b50iXnF4X2ye3BhdZw9Jqp2S1xM7Uup+lpnRKVwct7RZQZJ0+0HGPh4pZRd2DhfSLXhVolj
lKrzFVkEQk34qSijY7o6t0paW66x9pXbqvJtbaWUa/wRehALHnSikmWy8bQMHZ4Bq3u0AaGRz4np
rTFMf9LlSzvXFSTvyVUCNsWVCkR2h2VBer6U9VfK+oNslicbfvq4VNFeS7vrQRAiZkNmmNgWnWcx
i0jNHMlJnfvWms3QOqSBxTLRLa0LSb7LdnbVFkFSdvaFo9bLNiebFnZCusdd7TBMaF/VBqg1sK3o
SiJAik7GICtqzE7Non7NK2MxOZsq2ces5JzyuGV/WSLDg0Ef+QgZMpIBiGmLsuoixhDqybl9gbex
92BRUV8vFS4CzJOdUh2GVj3VKJG9AWuj2yd66yoDNlHFQPwzjxDwlOGzWcf3GYe71w7I8CA7+GB2
+NwiPty8BIpjd+u9lSygcKtnrrTtAAv4oJfSlWLXX/UYiWw8b4eGBqbMzNaT+1bbMxrBVF4c5t5A
w6RdLEp2oWvD7DkiU5YolQd5Cu+MQup25CViEZCsOwzr6JwV9SzEpO9KNg1W0zAQGWT5ulj6gzwl
2yZLr5MkCswh/4Rl4Nlw2opBkIIYqBtPNjAVH88jUYhyeW5QEkBNkQ7AtJjICoT54CyZX0bWmdwo
LzYuBSJ+lgfQOdTqCgvlboWf0wMoE5LeDOKaN5byacrhdfNZQ/WqQ680k8atVAA3ZX3ukMRo2tUm
jbWOSVX40ssTlBYqHimf4LlbVeVl6YBGOIP/7iBALxfjSz8Z51Ojzm5BmkgTtqqX1AUBT6qK4rL7
bKfQuIghU7L1XkGvzvtjrIPRzJmc81Z41XjDfrSOE2JKYATNTNewytedo31eeqe+iHQBt52l+QCB
XNpzE7aAg5OzMWtu6Flf4zq7ts3SwFGMM9bVtbDbhxb/yspcaVdYeoBNZfBTTcr3RQHJRFZLF86T
iUyzW2lRSaNifcqiw85HjHnWRVp1OW+vyn3s0Ogvo/kKvp3shob8QnbQH2vJ/+5Z4R7753uWeLOn
8bV96v6mpeAHv1+29A0ip55BrwanRkxe3qG8HExa6MEVgsoNUc1/u2zt35iGO45MhBAJSH9pKazf
6EyYJtGgiIG4/O9YXh82fFy2Nmxvx+SVZLJomBD9taUoIyK089FGV08K3g429jaOqGhbbToO1rhA
slC7s3kg9VKTV23rzMMlsjECoMriuSUM0+84NnC5G4Gj4TKIJlNzUz1uvCHGJpBKk+rHYB1dqxGm
mGkuLhvYp7GBoYghBQspeT2SY3HWGjqHtUN8gRRvm6V+CGE0efgmztd2oRitsnGHKPQQFQADMx2+
mJ2QcKpb56aq30UGHX6f2FcOgep+2SZXvdw+qQbRjbYR3Y8FZuOJWCmCVLDNZuN6bpbWwxySt8FQ
79HJqwcTgZ2TKWeTld9KRnHe27C0iVa4K9tQxpxDRE6ISHXVr+F5bZRI+qSi042aaNPLDeq7tia3
u3okWfykxZyUsTFvx5mChIfiiUubNekMLlOy+gB/UEwKYs7Z0c4ovMNmwRpbDnA6x0XAlS5acN8I
7gksj5loz9PAuTeiIsakv2WstEnN5nrOMKwYGN09SV0vtdB8Ufv6NhuWDfkAhatF5eWsm5slLvaJ
WpArbXWX5mDdxU2IwlBfHs2EFiiZjBpsLHyDvEwgsSVLB2zd2vbtesXxZm0I6D7MSv4arwVxDT2S
47hFGpWroQfU+QLRg4rD0NrNdnTTnPR4b+IpJ5rpaC4MFlVbppwCVqY3RCn0axr0Wj9u28F+hPpF
E9mU3GxVsqV/Ld2sqF4yy6z8tKeLUBsFgwJBCXLECnnZJQuwk6JIn9tWe0XY/zpVcrSLGv0kQibm
EZntIo9FkC65fq9Bg/UJKWOkGQpaZnMoDHOfGwrJLfGmtaNsg7+dsdbMCkONzGVrv/U7pTH0wTQK
YNn0xVmzqfVQ16ee3DbbtcEeZfUN3rqGvYde7xyT1PFKxWeGghxkm27vVCnC6tLOT8TN3DIq8xl+
BTIaZzpJ0q4U56HSRs2Lm368aXSlCRInmoPMGuDuEKngKeugBD24CFcz8mtnJDZPDQn/TOJ96Zhn
4dhR+WVopVld8L2wGHnZKVspTXirmP3KGyJ3c08mt+K4qIS8SvGLFk36VR8W17ag1OIqa/c1iHo3
7ifQaOsQdBjh8W6uF1XFNwX648wssr4MLeMsLmSKYRnZhJnyAZbm575XDl11leg6Zr3WvrTtItzP
ZnWaQ4a7Yw+DQK2+6B1E42ZJn7jWaqTGXeZLs5T5YExTdzIa/HoNRVS8Sltt8dL1sxppX8b2LE0R
fE9BQqgtyH4eg7EIn5aV2Ax1ac7DNVOYtUk3c63vSgUk2tLE91KUvWYDXxm1rHi2hZ/BYdiB8sdl
bcWYMc9vCSP76owVCLuZ507LrS0AuSjQQRWjmloJaY6a8kxSZ+NcKYtbKSma0zwS7kP8VhpYzhpi
ghglbwjDCn4gsq54Gs/HNrPdzsIHlzvJTdzyNBs6YJQ2T2NmrvzFifxBDbKsV1VYm5CTwJx3xYhu
YpGutaYdfJlXcuO1CQmkhVQHpiHcjIBA/arp9R1jWopD2KgkZDERaK4w7x7zqruRQxnzalJh2xoP
oW2ogbaucwJ/o21Thu5K+5g5UNoDE45v6nVDehyGEd5Pz7Je3SRTWEJ/SjqmxVGs/66G+a8mEGl+
/1wT3Ax9/9r+WBCIn/peEEANYxCoaowLxaXPFul7QaD85uisaagSvm2RvhUEIv8dChAiXTJNqRbo
if+cMbIyN2WZALM/aoV/MWPk/P2x+9YxQmKSV2WD1E7e3/sZ46iWat9IznJhAMTZoHEuOR1kJm6Z
ZofN0ZbT2XCb0ZAkzwipuif6arkwtlT4NNqi5U5i2TibRRs+ptSqA00hyzEWD4vWbVSlRxgjGngO
7PpK1XHFmrgXj8USGeBzq0dHlKgStWoJPsMlReiqSDA4g8/KcdWO2IOocUF0jl4pyt6opgBOqml1
IfyIEVlUAq1VrxgZ5PuxmAbohkYgi2JaEmW1IQpsiNmlTdYHZXdC/a0r9utEPV5Rl9eiQG9lU9qn
omiPnDz3VlHIy4P5WWUs6IgSP6TW1215ghY4+J1oA0L6AZY5iMBpEJjoXcl0DAXDAYcOAtT7Z1nC
wyVai2SdVAIZ0jPdWGgW6D/W2v5C5FPmwR1neqqOR2aUlcdx2pCDgm4mNsFR09FkorUx6HEIOQgs
qTkHu/SYigNEqBG8RDRGZAk9rwn5ZQkOjsmur6l7uA8A1NiXnWZLyxbiMzRBegMvlPHyNIR/2ArT
AsJAiG7aEKuwJZbkOCgOVvr1dbXtJDCs8VjOBonQrcWJ14H0KYdOTD3w6LXUSjsnwis/iVCSAaSi
SCnhhgxGkVvSLa8hxh2ABL2nEmxCDObXwYoq3xKZJ71IP1FEDopNIErY0nNbGA/Jbq6vYkJTbJGe
QqAZ626RqNLqZKuUhKyMan+fEroyyIVMlVVPrp3DTSHyCM61FxPUMhDYMpNOSZS64/YF6V0i02UU
6S62yHmxO8LC8ZCCehIpMBYlUFCJZJhKOBISERZDaEz2lh5DjEw42fgBRbJMT8SMLLJmekJnLJE+
081SQi0crruQGGCfDADcc5EOCUcdZFdW1tqfRZpN1Ec3VkgYClB7dacSedOHQE2gtrEOnYmmSxrh
3tH1Yy5NV6YSfyqRR1I7FnZgdOZZYao7kITEr0TOxVyy0Mwl1fCsGEgnmhIXdyucI5KKhdniopql
fVv1rbtM2QtxMgT9ac/1AixBH0B6R8Urh9SJvLACy5h9GoE0BPDrWhyJ5cjuoLvUau1LquNJ6up4
p+XL85QydlPLG2IwUq8w1k9508tuJxnRxjbSdFNHLPP6ED5A1VypESKINM1e0xXwAlS/7TpMGLRy
yXQpQGhTo+SmiiNAVlGSB1KdPZRT9aC08eKao/7UyulnSKVIX3p8VjVXqODWnMMNvYdCfMRsfrCd
QiZUxgAaXB9Ctqi4MVlkYFPCxSp96ptla6XVGXOg3J3wOrBDtR77FTNYFmnObqwtx+9IP9xNCg8e
oCb9Qs0qW/Ibsvu+vN0G/12LMm3jP1+L/1M8fan+5loUP/X9Wnzbr+kqnLlv9Op31yL7ON1k+yX/
laVp/2ZxcWg0z28iifdB4PZvKmA92uQ/dBfWv9m8Ae384VYUOjMSmGmFyNHSP8ykq9pYUT2F3YWc
a7cZ5ZfaGUc0j1fZTKU+iQotkskaUPRduiypX4gqLhT1XD8PIbR11DvWwmVEvuS1rK+rF9eWArO5
54uwKrSroiB2+LdKq4pJpqiVvRORH8ExfdOK+nItK9tVqvlcaqg9ixKiG5t3yZNmI/QtUaPmI5k4
bT81J5kC1jLhUVjjWp6l6pvzkUV4FLL1UUXp28HBtEU1bMZxxKipvI1LG2SbKJnltts31NCh3UdB
lym0UHrxSlTxPTGvkkjg2VVU4EyacSQ1oNVEcb4a0TPzipTx7oDQggq+bPcpBDRR1cdPreb1TrSr
qjDyp3EgG0W0AajywTvncwYZroNdRbcwrWwe5779MtBHKD2HuiPzC0G02Hf0GosEtWEpA2k9G2hD
Zt3+bNCWVKI/cRYDwAUtSxu1l4noYfTRJrB9Vi6YhYr+ZgBohacNOxu+2ijq9pboh8CxXKuiQ3Jo
lTjarrrSJrtRdFGJEisbVXRWnTXSY0EiC+qwQuMsOrAwmwBwy/YZSRz7ZUh0AHMxuSclvXlHEyw6
uUYjbfoNbmg60P9Msh+DSPR+US9rXkg7GEmCbJ3U20ZOD11m3erO+qSILrJYMhdhIWSK2PErMQiu
sVhDu6l3kzyqnkkrqin8LivNqaMVqZeFSilf1npf3lCs8cJtx4ayulj19oUaqUJRJl3ygD85VcLc
PgXtEmfKY9uM5y3xtb5k6+SxT9orI4dXpIrLputxBzedHe5IlH0GmoYDkbfiZRDJaCKGGwP787Gw
5cOYpp/q1TmCIQMqWsWwhKSzZlm4OmSmAH0UKi6EQBjlXXfq05Wvz3gbR+FzE1v2juiMmXFRcROu
6P9ndXhoNGufNT02WqM6gDbN2cyaxcbuyr0ZGXdI/+LD2IuMknS94d+czqhKRyIwqoqAK4bfb/Gt
Y0sOr8KGYaPN9JmyGZq+EuoPYAqZQK3MtbuuLA+dyjx8lizLjRdGynmX9946d9VjJJOmUsZxe5lC
8YSE1/hzuShAImCGk3LBhY5Da0zp6lTgkkRdlkGYp7TUSUZEztKr+45sC7dKzRiWz7CXV1veN3a8
txSYIibvxW1MjYgt8S21i+6yS/vVrZpyp/fkiEnklFR0pylpDuSHSUADDb33SHeFQw25xUcNSAWl
kM/L/yHpxmWKsKrqxjtlTo9GOxwqDTOH3t6MFhOktSu2sQSmsSzIdisz5QTG/S4RizOGeJeFPlxl
ZNjZ2XwO9uixCxEXZSM7nqJK7030PPos75auuyVbRnabAXsVGRQaUXbzWdY1gSW31aZYmHap7Xwe
ttoVctQ8AM0UWGp9UIehdJdu+Kob4ecEij8x5ydS2S8RYVH4jt1zCL7KHbL1MY9ZeOuNbQdE0H7u
CotoSgYkbq/Wt1WsH2eproIx56npQzYJ99qQQqbXzZIhpeiGEWweHNEf/3eFy4JpqzJ+/ucr/Py1
fXml2vmonhE/9f4KB3BmvNPBvLvCVZ0wCwfK2h/M2m+drcVeWUFuQw49YfRvpNtvna35G7e3Zgl1
Dfh6Vtb/5g6H9PPxDge8xjAYg7WDJIzEy792tpqkTgqK5+xCkfW+BZSZ1CRJjYUuPdhVZk1BYRKk
gPIvba4UxsiDWuxZNO4wMMhhui1LMfIhkbm370k1JvY9GW9Zv7VHeQaj9BhGKdDEvsQmh3jHI031
Akk3pJe06He1anCbTMV1lS0Xs5SPLiS3pxDFkWe02bGW10vibmOGle39LJXb2qhgjtnIU+Tpiwl+
sdYq/gFtrXfRbGzGwSbGqXPgcqdfx6pVA9ow2Pto6YOa3uMujIpLwpGY9shLTzaXcmFX4dVUpMyj
F3qryFxFrLG9G02hjskQvbHaRSYN7LNCO8egKMc2Ce7BMfR0V2tFHjh0fhzsoRkUTfw4cDb7pVFn
20hgX1cBoNdisJC0fhIlkQDUw32jKmreuPVomxd3FjB7pIcE7wjAfSdQ97KA3lPAzA+mAOFXAonf
CTg+2iPVixSA+ej8Do1A6McCpl8KrL7ZWD3x5qD24zfqPgRdEMWQ+EOB5EfBihcnboHVjAD7+zd2
fyow/qgrtaNdtywnCvqbiPdQNslBtySTiivrpGyjTpk7LuDNn5VG0/0BM7vVpOl5zPk5hIjxe1Tz
cUmtAxFiIxNuqacO7Kl5qRibttlrXnF7ddlZJcuRX1hIX+gGPcswztHpnHeSyoNUJL5R59dzXB5q
tf2kStlZOnEnN2pxq0XxFPSx/aLXzSUbvRMJSGim4t7KLgUPmFEfI+T0VBhxup4rhgzIm5SxTCCG
NZ1KKYM6PBSCfiZAxLOp2kGxRi/rPAHq5Lx2awEurgpmL4aAGetQjZlyg7zU5cybBfJYi+dgEAzk
YrmLhA5r6UvDJ9YuZUhRayKd7YQBofBtgVOWgJa4MoTlOeH/UyCXY9jL1kJccyaLu8VwcNwIRPMi
YM0y1GbLAN+ctQaC/TrrDjIDBzOZSSA1chVgQEe8Y6F+NmcIduFS3UwWs01nQTAflp3lNnglUD6x
hpV1vNCW9VqE0Ze8IrmFb5fXp3jOUim9HODq8QyogSIPljd0CwAMpaXKriZnY/Poy4oe+aXMvtsP
jR5voxRVKwGiUKqzQ9n11e1/98fb/SE05/98f7hiMvrj9SF+6Pv1gSyJ6AMHDyiieJWQoj8Hoyr/
E40X4CZLM9HXf9+U6vJvNH9o2sUS8w95/bfrw/kNab3IQOBGwlv6764PlrIfrw+6P1axNu+O7AZd
vL+/DEbruTPKKNYuulmXKQ7HPaGDcDRTTUMj0myY5+BpQ8JgvWkZIv2l1eyzXqgcDKF3ILVFZ60G
ppG9lVsiipBSuXXttR78GcHE3JJBrAsNRVUNz4tTfooRVyxFfs1ZuS0RXaiaet3A8kY0uCCGr1Fm
tEg0Sgw5MGisu06oN3KH62ZF0IGw/8GIYsTh1Tp75lxcGIg/lMkMnKY6WIhCMmPV9iucFg/EG1mN
SEeibA1UISWp4+thiowD1K9tvbTPNqITB/HJTAiEm6nsNDQcLYxui9IXo0cUW3iEka9MyFiAlehe
nMU7VShcarTqBF1qqF6o1xm4aqesaA65UMZMbfu1GWMMNUI1syKfSTiVvClqLlJjrA9z0ZOAntA1
WgVD4EwocBw5Ck/dmyrHGVZmNvr6lZkpZnvdelkTPtya4L8rlXx1N0biE/eyc55W+d5wJIpIoQOK
hSKoSwhYs6yJvxrLardlNOdh451c2iIIQSIMDU0/0Szg6nb6jERIjjRlu4r4tIZxFU04kWqaCFdL
RMyavOTpThPRa5IIYUtFHBvcTexeBLQZIqqtEKFtyrygvxRBbrqIdNNFuBv+JnXbV+B5SpLfuJGO
K0lwWansexENlxT211CExaUiNk4SAXKLiJKDoblsEZITLyeC5lgnLgGCF2fbixi6FIbY1hHRdEVE
SB3JM8k1Gk2b6Eoi7MgLS3eyiLVDAIBESdOkK/xfApTNb9qIILwE2cDGFuF46TLZGKsIzJMKTL1I
lJKDQcu1jdT4dlG7S0hXZUBM0YJkp36uBNAwiSFHLiKYr3Yo5cE7c9Sv4iNK1PLz1BnpXYmn2e1i
p9wtQ0k06kwsE8nPhKhilXDjmhoFDgmfcSsNO3tCSRpPOkMUa0i+ZCLXUU6tMBgxW+1kMJ+DkQcI
z+jSCrPmeofhrOla4dLU4i+AsAQPscg9c0zNq1VBFTNDuJuKjNDPVIFbqOanDEvQDqTh175cn3tl
jDd9rQws9/L2PFFmzdNm08/bxtyby0TQsWSNWzss9WvUifeJU/UQsfqB9OFYnZlAAhd8mXhXFiwI
YGFp7nakZ25BZ9zCAlYIq45IBRidAxsLM5imRXGdcSDhpGNAbzElIrcJ+VopHSSdlHJNuxtpD/+X
vfNYkttKt+6r3PjnYMCbwT9JIH1WlrcTRDkCB94fAE9/FyhRItnS7dBcEd0dzSDLZuKcz+y9tk+2
yl1eJwcnKa6YafqK4ly01gvl5LEv7eGJsconBdhpJP+JJEeNhHTZy1PPonLneR0xoA066ShVTzpf
La7i4zCYX+vUJeBhBm2Gq3o1eM7D7BKHJpIZaE+bfyDjQ0ae5/syma4tzwMILIgzWzwrRe6SniwI
vxqHGEPLUgkNWD9IJsv3RYuG3GkNazNNvIRanV/2SnSbjeGLWvbPlcnx4KrVwDagOQqpvY6pbTN4
gtE5tGW00XqNfBeDOx9J45BgrndmBA5ZO1wQff7Y24x9HMW88kY2EyVw+D3OKv5lp7IxTdkTVR25
aom6y9yh8Acz3CRqWV8K/EMMyRPEHaMXdGPz2YaASaxBoJvS7WciVXKLuIaRJUv3XpoO0FPrKQtz
ay9yhsvN/EbgVYPPZtzxQ2ebWFex4GtzkNkOdHNOGeII6IPJxiVtdTWU2k6p7d0E8JWAW7QAYiGR
5ieQmEyCRPbWud7OKYwzkL+tYtbbCComr6k/Zhp/tl5jVwi/Ff3XVjhXWS0JyyinfbekqpPS6xOx
ex3mocJdsLADp2PcZdc50GFNxHcZAe2xXeycJbG9J7o9A2La6zbxmiH1VE68O3yxk8iwO7bjqgUG
xJT0M1xWRdxjbI1aUi5d5mpp5kd2cUO52Kz/rY2+1UZLcsrf10ZLJmTxn7XR8kF/1EbkSZEEaTnu
b8GP/NUfrbXxRdUNGlqeOFbES1bk99Z6cZ+Q+6SyiKQQYnb+59IYFZm2hDjS+SO0tvirf7I01hC4
/SLZxljI3lo3l++CT/hzbYT2hTBnBf0IgO+H2mB4lrHjW7iFFEgzQ7va3mqMH61J8eEsP5CpSwRp
PwID8Oy7xDUvjLLb50myrgc3bAPHyQtvLRaTV7bYvUp8X5HCRLmTIvIYGSfKmw4DGJGUZgzxEd5c
TsRuoYaYmEFtA30W65yF17VaVAZJ1fatTHHHuMN06VkZ5UZhBFWMVroey7tpUh6YgN0bEIVXqk7n
qzYkZCjTZSzcA6FrtJKkU6NHtVLaiShRb6pEv/Jc5UEf2gKBG6KOsEsvhqpJEYgUXyeCalYx7D7m
Z1GgN7C7iTa4RLX9WmfJGFiD0QcYlT9gBc9Bp4Jr9kZ3Hamd9KuSmTMqKIdll2JOezkSahLL6Kj1
zqWBr6PX4uNMN6NqyIWGPK5WSECOzVA9xqr3rJhwoN2MwRsrYiTKD6mYZ0a9831HFuXQa9VZC5l1
VOVXXdUCEOk3HlnWEOPyUxXley2fHtKWcMByQIVt4eNRJjZ2IGAQRw/DSlHSDvlMuqtbpfKN2PaV
icjukMPPt6rYJXaTVJJ5qlMfKRAcYpYMnce0vEyglObqpKyBSs4o8SrStVXnHcz2oTC0aduFnMXt
qLEb1/fg83d931yGGQ5sg7jui7hu6orFL+vALU0iFxh73r3RsXttrQtafDRvJRMDQr6prMK3FAh8
mo0KjpqRrOfxNbKpIPmcZE4uoWAUejImsDA2lFeVuB0ffCEp2anha633yejGvXD5xa45D/uN3sf2
KZMGS+miuWWuYZ71Li+Pmh4NePW9JJibfknRxYFlZya7GIfoxlzbEqreoWKr7XMv3C3X1B6s6AND
tJ3a6w9yIEwDCq0aAOfTzkalJ6eqYAMSeTYmR4tRSDgk3OFjYtLaK0sMmqaeq9HQrwUEzZ1IB1Li
AUDK6JCn7MnHWn9FOWoFzF3FpWPo0meCs5lcBNcdETxUYZlvyeJtaoFVDuKpjNg5e126jmJez4QA
xkuaH+qu/L8geJYz4E8PsmupKsM8C0MH7hEmcL/aOipjHNJM8bTLLL9PzQ/MXjLf/3BuXv32yf4P
fvDyJZCw2oaJllVT9aW7/LFFm6pobBNsEJdp+9anV1N1V3j/Kpt+80EuZ/rf31HHz+avrqgfhM4a
g1wAgjh2HPe3bvvPK4omfXE/Mhz+5h3iZfl+RVlflrcCCGP1m3VyufO+t+/mF4bC7OOYi9nIkYDQ
/YMryvmPG4rAXobLy+SXUQK34c9vDUerIs7LGcgvZSwrDcGo0SWUIHBq09s6g/vKrFJu2HvGa404
MKwKeev2k4dfTU+eha714WUclsSZmaKtcgDhCQOsSrF6h4Vb08grGDznykjFndJIHQIdET2bpJ1b
KBNx8mJk1nw9FVO0rWDmausIhT58fqKZRKCbM41G3bZoZhby894MlTwh3KJzsvaZzIyEcfOYzfo4
B0ZvE0u+0QsybQ55zr70NpqhUWxFHSb6uiujhl1gpAbCKQAGDqRRsY1NtrgP6rVcUr+HlLNFjvW8
VdmLPmDf7jUcPpM9r422hyU86d48rrOe1GAwJ6EyrwuzUlrCaWf7op/amEBTvbRvhW0vozSnStZ2
MbVbDXtRdwv5qvHWtllll6Nux/q2dvjzFLFMm6XpwQ2oI2IV4EKXzr7ONEP9t4z83arMyOnvH9Hg
M/ufM57+z/8sJTEJ/FlKGl+gGmAt0H4PLv2hlDSZmKH9oyn+3a38/Tk1GcCpKmc4RzdF4/Iwfn9O
Te2LwUOKLdm2DTAXbIT+wXP68yVhUarCAOKwwJzoIXJaFCI/nuBwkZM2mwv9qqCrUlNxcqLUN4b/
huLX3eUq+Ok24jBYtCG4L0DB/wckXyFegyFDKq84fdJ9F5GCuLbm/pALJtmlTuygIh1ap668hO51
qtPq3tGx6FUsxH32KB2zay0lYcbyAiABqm8Qa7NSrGpxWjdPsq2A6rgxcZ3LdCxus1usdq6vV9lV
qQpsX04hVm6tw5ZWBqAVDHaYvLjHmjrWYy7oF7h7Ak5bJkppsQntYUPx3QU9XuegxetWOcB74RB5
Zu+t+DGfYjMrKa6tWxTPN0o+nhXFOhMJQ5yZpNu0XW/feMNZhnkEJEFjReRmKzUahoBMrHjVD921
pcwbafaPnosxLnJeonwisR11YQo0OsgmMNdNeLSdXGzwvO9s8DjbFiy9bzTNPWztnXDNyM/i+Mg0
9q2QRPIN0IUCe8AbnZUjnsN+GfGgvN5o3fyi5cQLzmZyabqQJwDBo8Q2gnqJoXG0+6aNLkpiMUAe
TzdO3W/BpbC4ol7p0NTzjeK3jLqCSaNu3SpTlfl5R86G4714HZJ7Ywz6GgxH25vpird2gLgWQjlp
54jtv7oT5gfVti6Uobf2CGZQQyMu1JzprMueXQ4qQBlrhGxr2VXNAb4hanE75+ZFFIURmzZz6w38
bmPJJkKxrSGoSASCsbJj4HtTFvNERFv7IGzEEFGLb9HosttW9ntSk4agMdR3IIuEHMjpIRPC2o7G
fKmPqBnaOBnIuWw+tEz/0GWmL9u7HSXrHrmT5qdSbpn3XuepG+Bos0+OMRe+nRXvRGM+xQ7cp9wu
7+yBzSNZ5+lO9saWIScVfLhhnOM1a95iKCxMyUU3xvUrtsKo2cxkb06+ZY/YEtUxJcpp0puo3Zmy
BufkyI3msjzS6mY8ZJnFen8iiDFE6G4aH1L19sLS4LzjeyA/shoeUstYJkxSU4lCENR6/aiJIE30
vVGZO2y3525xdbj1a2iLGy1VPl0yNlc1iSgl70ZmigPAmbZDziGDUhJBruQW01E5nMgiLQOFAaMl
UsY57SCYl0Xy2U6cdj1G1UUk1NBvq3GHBGYVm+2pSjDyd+1Oym5JKGEt5iX+kKhXSVNepDaPrFGk
V+ia0Fwq+zljGBxHcUxyzcTYfhAftpxychITMgJ77Sbu7O1Ydp/pHLH0YztY2NWTbNZorvYx6+C0
U3bg0F/HRH2ZrYnNXza1qyl7yczbQbbMOvtDBccpU5oV3YRPgh4GU8/scAEYa2mYu0En21CLmSvP
1bA1wIpuVMBekA9Mol409pmlDEKlaQAFVKhci8uplM9NmTB1ncyHrlPdi0pJzPpu4b9ErtmEu1KH
c/XbTfu36OhfZHE8NCxqNMTnnEPw27SlfPvxuG7b1jDDyZ6u5OQ7K3MbHsbb8oLUz5XyWjyy5d0z
2VqFRxoLLIzb/0ZyXlYuPx/ifPml4Kc81EnR/aWoa8LeGhS7n68G57UK9x4AXG98UUiZ+uEi/Yu+
4q++Ds0whaOu2qaq/sKZ9DruLHaT85UmTvHYrrLs04v2sm//y9f5+fb77dfJ75M7EIg7MXa/UEpr
BNMW3b0KnP/Y2FAiWBSbj//3z2L+LGX8/Yv88MP88kX6WFVbHX7E1bBpH9jProed+uEGLkq5C9Jn
o9UNUvBVvtF392c3yFbn4UJsHtp1uL5ODnK1Qx1/6gL+YVBu+O/64f/+/vTll/nri4r3gE0fYyn8
kb98f1k/z1oxqdoVS61zeI2490J7jA40sphvgDMenrXt6J/rjdyRhJEfUUtfM+3fwPzwv30r/8p1
lzfw3xeS6+x/grJBsvsXhSQf+H0mCSyHqHpEsQbKnl+YZ9oXjZcQ6o0Ou5FC88+Gz/tCDWlCZdS/
5SkuftTvDd9iel3kORZNH6ZIitZ/UEiiHP7pfbQ4W/k8nEyqiQYSBNsv76M6CkdLIU/kUjXLB7lo
9gbEewqlL9GubXOlzIuyj8vyyTLxJTAWrInpUxxEeOxLW2UoDuQbEHY8c0arSAaxsDkEKLrwyRjE
bmaT1WQuCAymKGr8zuzLdR16+CkWLWKCKLFf1InG6MYHFDz3HsJFbpViY8+IUR1EjTyr0a5B5tiJ
8TGU9rJ0rG6bchG/K8LbaWr0XiCSHA31yN7tXKox2rhFR6k2ibaZLA0REiLLDDP+tKguS+SXuB+f
w04/dHbVHuPFnDNE2SaqbWKKJJo9lpFvNmy1HVlu+PdGWI5eOX7apf1JP54ErONwtCAI9UbjqdBL
9Ck9AddkW73qQ3zNOA/nRVK9e0V+mVpsbgxSQZTYLsuHMSG7gnN0m4In2FrwZtiubKKSLUSIU2+2
8k8Qk+txYdOUWbU1odU4jbyRxHnsAKW5q3ywonUq5zlIhGKve2W8dGJprAQEHAEJZ1iQOMx+viVB
lsyXAeYkkHNIGNwbdveSL0id2gCu00PZmRfcjqtOD/hCyE8ZW2hfVTfO7I64Er0TA6+vcx8v/Iwh
WZMkbfrlyIbKnLNxmwv8xbVIvH1VT/G1ker37FFQeC7yKd2NV3OUGs8zKdGELHlef9fbWXTusJoc
ZjWn442VdIeMay0ZF2v4KikySMwuMNiuUlU8LMZbVoKAyA0Fsx+mJpS9dsVsuOy4PpXyKkpCxtlI
lBhp3DkKeiOZoIvuaYwy+2D2Bb9iCHhhMj5WlvhwGOCGChEyhVZDaG6wDTlK/2rmLfZK03hW9OyF
8hoeU+RsJ89EBRQnO13FtuuQHjz2MxmFBtCS2d1MRRqMpEUVWXqyQ+dC64n4dafpNp+LryoymzUK
NHtlE8Xjk9FurQYleScF6MnS2fLF400Wd6dpUO5wc790XJc0CeRj9MqRpMOzaoT3Y5EcJ4know71
hyg34EM34V04Oke0O4iW9cjcGBV1a+p650I3n0NH3tv4aFZZhPFkVCipHaG+taZ3IxuCBapmo4eL
qt0ZLqVm3hgTP0sOXqRptb3tAjN33UOEnry3yclRrLdo6h6WdiUqLJQDFrP+eWc0+apSEQCn7fRk
9a67TSJCpVPBOoxjjrlsraC8WNab4TiADRTNU9PmB8MjksjQ97E6P/QFq3jQo4ZfG3JfoXDyecMi
SlCyGzb3b2jpWPOlxEjNtrvVSUpfs4tz1/iG2jVwRoRZ3rybTYzf2MWSPfMVf2xRHOtMrJcTl1NK
KxHQDVclIVorHf/Nph+m60hFa62p9U7lV8CZdG1M9kXSe+/M13hvOfY9qsgLw6wT3+jZNIMUBdy3
HHFNPEO6Um91r9hkToz1uoLB2iITAdmb7XL8ylrW4T/PO9tnGPXYz9EtKso3J2ebGOnuRTrE4TaK
FIWJV3bDyqRBIpFq/qQ7b7ogSUwrMuAWdrWeDKKyckEiNyfpJmWb2XRzeJvUM+FNjXZXiAHPoOaI
9ypWcAoOAxFOnBFCPDKuv2y8eJdb7teZEnjdYclHJqAi20Bk6IvWUrwVfXP+mKOHiS5mslNWnT2U
awidR8tt7rxFQtwsYuJ5Ll9Ie/ewwg8G+dfzUzggJnbQINudUvtz31yRUXuOUSkbqJVHVMvaIl82
iubAKG6dRma27jvrGrXyRe8peK8W8XOCCtpFDa0qDbqgRSCNG0ulku/vDLTTIgS8iZY6WUTVKew4
vpv5yVv01vX0kFvymmjTK94P/BJQZucotGcLEzDStGw1qHjaFhn3klVYoOvWbJRz6LxNdbwvmDmG
6L9tdOCVB33I5f+Mi0TcyWzaskU2Dv9XZ6GPlLxQkZtzxgZSVLsCtXmzyM6dvOXYsbFaLZJ0axGn
o1BHpl4l+3kRriup3BffpOyLqB1Rkr5HSiACb5G8l4v4PVWJfyf+WyOPmzHBIpH/tyr7TUFHhfL3
VdkG/UHxVyUZH/VHScbG16bwYR5HaIK6JCn8sSZWvzBMJx1axSpsuUsA1fcZvPOFPzsI3r6N775V
a99LMusLg0Lo2pbD6J7G5J/N4J2fh26UZN6ypsbIxQSeyt74pV1McwRGYxc653BsD1FXD8VFJ/WJ
YLJ8qKqFDd3PW1dCxs7jPBofSi8GJFh6BQqVLomfR6O9zeN6CmJg877s+i0Az4A+nMmEWuhQNzN7
VXrJG3p3wYNqifWkELlWzNYZESFYpkx5LlFhI5l7lH2ppdcdmrVb5Ew7T46MskOUEzzJkSqUcxoW
rsTqXCPPUqLnqeriqzCMhX0VZ5NzZRUuwxZTYlhZgUDqysAKc7W4sx3F2IScU3LNMjPsLmuljcVD
z0U84BuSj6nuxcCO0nIn4iSZuIKbC5mYB9lbN1ZkTmg+igd1zu56E9VLGVfv+sI6seMetuws/GZJ
MNaMt7ggZ7JRzLPd6+BLxoc+FpZvUBAqgxIoOUdAtCA+zIrEU3fCq9QW4IQ0M36EKOEyJ0qBLli3
qSsvk6SygkkRH7rn3OW9+amabNDbnF+K5XbXDpHBPM94OCWff6UTiPwyGRH3pBQ7dWZGUy+jtjxz
75jo65uyABxWGEsobaLvYlCMxTA0QS7F3ojZy1o5usSicVB6gxhbk1qXcXBMBxag16He5z4mIHb7
pr5DL6/5uktSnTeN+h45N0PCXv1Q4V27YM99JbRI4nPaLYqBVxL4jrbnHFvDa3zhon4yZg+/LSIg
L243Y6h8WN68ydQRWnd1jhp0Yugfg6qZ7R1RNxBiw+prVzKZsQUy8F7J32XsjYBqiyfe0h056IOz
w7Cebnh7XZta3cGRK8+dxZbWnMOrzGOMGuEEimLtJqxwyffcqCt1bCwfRSPUMi7d2Cqf+kQHjRV1
h45XsGPFbNWx2I4WwnRbrcv1XBAdiVxhrK1Hre3O2BXukq7EPq62D3kU38RmLIJK7YmnXszqNsvr
IW5uJie8Q8B1PdeEGRIxWQWTJoGGCzEFWhNe9ViUpyxUoBwr702txMDaEfFPFpfUrHkZxB+IxpHV
Qj1WiSw0p/lQVlClppKQQNdCoNAXhp8PWYfgUJ4g0HxkmTiI3gXw2YoLOyFlFhD+cSoRbqn454F5
1tAozTwwteS1USu5mbzu0mvMp0GJVZ9HfVglU277cW98zaeebN6qvOnnyu+IQp/5zawcZ5xXZlEi
iUuHe13OxU4xeXeGS0nXZuIzm/SZy9F5sqR1y3Z43A9lytS50fe0iYT/ui4xtwhAbUxFvpqb5kbW
yaWIbGin6U2eDWdk9wpD38WXmaRrkXuI7wuSNzP6CVlJJtPNOK3qwr6TGmhptVG/hrr5ohrZO5vv
fS0N7vmoo59Q9E+zVR7axPH8PM8fctnpa93rb6ep07bCzp/LyTxaSjlZuNBRl5gHxxztayNxKycQ
rUpec1y/GRKdgm7Bx1xsj71VX9jK2K3nlO5qmN8aQ3+uXc/YeWrBQsBzruZ+KAIX60BgNgg4YVIV
Ky+e3nFOsb5zutu4IHfWrdRsN6nltOqdFBN3bLxUtnnb5Z3ry9jFL9eHMmh6RshJBbGuECpBVtit
mOp+DjM70cKiskz0IRhCRAhEDniwYU3s3H3tofGgY0On+c5onViYFjiqGkrrLEbE/kNbE6Kq6IQH
6PWNLChgJhcmkjYP61QUI6+TwCtoTIHA6oCXIK4usFDspzx8Ie6ReBPFzNe6gyp0NHi3Vk3ybjsF
XViYzGurCDeRaUzknDb1vqzMTQpAiWRQO9u4Lo0f5+G8LZL6pXGtTdEoaOzCbUnJfh0rwsbdIjz8
aRIkYJd7G5w4JIfh+722AS1snFrb15FxShwB9SlP3C19Mn5WNON+OEzTgWyGjxQb5wYGonHQKwNA
UwVeJx2jYhcXxXw/y5zXRk7KxoJvtVIo7leRDtrF6oa9kYdM3zWXQGxrOEaZdwi9+aiIGZeFRn8T
pjCZcnLgYufWVRz7NLd0enEPTYr6/4pg+rtCZ/GQzlq2wSoqVn2sNKR+du/k6yIDJipjO7ossCYN
3jr2xZGw1fiqE+zbAOwFaSmGbVXNR6MLTxhgg7RmTAgDfG0kNaBMZhQr4TRnz0reXQBgWRsykHA8
2lRbsXAPW7gN3WkNFZux81yzX1Llg9anr2WqXGWNuE1xu/ooN+x10miwFc3qM5udr1GumpvOMNug
ESafEoVwIDP1uRJ0X0MvzqHXA6fS1CGQdRP6ZZgeC2JKd8mYRA91nGFaDZ+JrKd14dF1MpKk8u7Z
MhQgwd25+rYN6fL30NK9teaxmvDy7AGMALs+wa5DV5TrWYX6qWTiQoO5jmg+PWa4Sn2TO9VSBg4w
Tfsc3RYFZXhywynfIko6oFb2gjpVVolVPOZTcx4LkCf2lANUQLLDC3qoW+2IUulDqdyvcqR9tJmg
FLWyC9vkk+Xfpu3Lbts61bqt+FtZKg9qop7m6JgTVNv0Dqym9NXrk7e45fAdFBXtqbNHFL+8a9wI
wVFzmFtJ55by8uR06gmjn3Hm/UyGKG2xbn4acJ5XrEFvRRLxjznACQ45iQYpnAmCFwqaK7ZUbi9U
YHsxlpuaSoedlX2YrZLk+Upc2jUpOZ581Aw+eTXC+giTY8rUamvk3bsJ1S1yoH5WcJNUJ4cdVTyg
zUPYhgzBijUo+a4BsFXcN1LSjrYgghX8TRXZJIAh2KLa9U2PdILpnKWxFcy3KGvpS3XUBZrMV3QX
gEcAOW+wAzD7mVnwGQ0jiaHmR3OJFI6pO5G+CRD5xlI9NHvHiA9ySr7GmiU2kXRhXybbct62EFp1
d9tMRaCNJ1dJ7+JsYOVrmrnPGnybJAM2c4dCxpjfDECstozeXFucwL00lBxqzItVv+KERvGsy8Ti
Ih6aI4/PXbRYA+nfHjTwqFCxgIw0a3dnRNlOx4MwdGkQukZ1XXwzG6rEoQC7Mi1NeYyHslRxXxVt
c2DnJ3PmXpLM6E2ZDcp0PfHqFKollMAk+gMWHEkpgeulhxIz+GpMFZ42pdnOHgF0TalsFCepgiJV
5EYQu2KSeB6EA0BdV0PP4Q7QeaZIW2d6cm80xa00QcywzflaJ82jKRxCuim8lBD1GqbOfeyYr1Ux
Xo3Cs1axU6VEj3S5T93V+kREE3YgF4grgxGuE+x5uL6gAXGl8fotrx21ObxPZG3xqW6AbGeVGYyd
cx46cen1zmkJriBjO3nVvCmAwXHS5onqpqzeuFtwngDhSQv3vhUCwmyvfs7hUGznRIWeN7g7c+iv
4AvGFHkzkpcKx7pC5I4dFh+NzHeGHQMrUnFU1hBUzDq70cm7LTpQgFZeyh3n7smTrEkni8sOX8Ou
H3iiE50viKPfT82sXbUaa9sWuwn+j22lU+3C+3xJa+Gb8WVaEShhTSs5Gnurwe3guSTCkyzAiLK7
zK3kAw8NKxMNoOIkzmWkni2Q3FkxnE390mZUpwA6bRqFUDe1fExltO9i8dw53X3llawJCfl1m+1o
O0uCLz62/DzV+ouotB3BdpyMebSfJ2feJ332wjd4Hy+tvUMtuI67isiGXHkxoYQ+5jNyxbJOjmOc
wm4ckpKIhPlCDhNAO1t7qgaVvWV6LWXxmlYuFvm2453gPWdWeRJG/JhLZqD/NvTfGvolSOrvG/rb
1+J/AvEZ/UVPv3zgHz29/YWMKw4d9ilAPzV66u89PZI7eg4KPNr5byuYP3t6RD78c8ogB47oN+v0
H2sWfYmqMVhzMB9g1wIZ/B+sWdAG/bJmYf2DoMQlistExkdLwN//kEkgEii5cdYZFzzCeezjnemo
LTBlpIuWRlYMTofZwYlrqpU+EiczsRgplyKmiE6Y9p3XNEbh2xFoqNYviZNp2pXUWpbyCQNK5BtL
/FEOCPgQGUsmUt0Rj4RFj6QkrVWJY/GWAKU8NEIYeTa0DGxpiXYrHC8zCaies5ZVRWTLi8ZgFnuN
AWg72EX2GYLmD0omDpnfm26fbNXE1TZe7YrhBmhQtzfxZbC0mGMscaE69S+z6cCwdupYPeq9Fx6b
uk48eNAIKeLRq/2mJhWkVydxtLrJPIUhzj4YRKH32rcFqG6zDuW8BXQzc5bF/RWylYWE9eKk0XuC
kW6N9Cr3K9v6rDo2JV4JyWnIa/NDdgJXBkDtOmL6NqvWpkuV/kXakU2ulIopRKa9RpKUTICgdu6j
ptD2eakM30dhD7vWKBhNKyGp9Tj3dqnWOGf0NON+rqp6a1pDifZ55jlPyVO33Ap1SEMP5g3hBS8u
8h36gla2IZ1FfnR7TIZW2DgXk2XNe87GeCV0L4NeE2+dJV+iifR0ZUxu4pct81KHXULlep+uGStb
d5h3DIEuDWS62ykkpUchkhUwTWMu18WTGZthwAJoAAFmbUvGRThLR7+LG3lOyYPw1ThewNXWGDSW
Y60TpdIv1ShNbxVpGTeow4vPRDWbQ16L4jEZTMYAov4oWPD8lo3573J4cZD8/am1zT6Lv1ACLx/0
/cTStS/YPdD7OhhM9G/zxO8nFmFYnFYm/0Hmt0T9/XlisU1e5Nt/bIb/VBgawA9dnc/F/6CLQGry
j04s+9cTy1p8NCokRd11sarw6X46sVCqOvrYu96lnjc4wCzYbIRQlVFxbShFrK+tGHbDC5uW5poQ
q8I+5IMo/HnwTnbinZoCKzsYv7eU9chEiwOGLtpMpsk8vDKyERqeMe+L0ajX/eBdM1z7imdMwM2D
utPrWwVDV9QKJiz1VsXo5RZUxZWyU0T2ZjU4DBdaWZTI63TxiNldEzCl2hG9sFMZ0mGFlD4+QzT7
GMxQUp51+jah4zyTiweN42c3La60QtHeEmxqI1CcfeM6TxUGtrmR71RxF67XZNZilbSfF2cGtDbQ
Qlb52UxukC6OuGTxxqWLS25mpYOQicNn0HY1RjpE/AOjV7x1EBabdbX47VTD5aclKCxoy/mROecF
nPGcKQpevWZx7ekMMmMTT6zRR5tmcfZpTeSsE8x+LqY/NusDtEB8gBqGwBxjIJlfzCrKy3FxDCoQ
HDf54iLENb2Xi6/QE5jUNDRhgSrNAdcf/sNqcSIysct9vEqIvqbr3Er3LYhmrDjJx5QPLowCHI1N
GbISRkdlRNNrofcgiTTta6crBw07pOymU7L4I8PFKTl880wu7sly8VFOi6NyxFo5Y7HMlUI+8Xoe
O+tlzu0LhOE+qFmseQnhBeGtXLyajUyTNkA6VXP86kVP8Q1xMFpVGdAQgLAg9wHNRpazz1rXpE4d
4q0AwQeQPiKjgIsuPjhpOWzhPxF9yHtAXZsquCiSYbzbEJcimfWTNrK4LRliDtZkbrnozCzI+jHa
ariMUBsUjX5ysqyHdGK7O9Bd6tO/Rdy3Ik5DP/X3x+Guz3Ezf3ScfgVX67T/+P//73c/BR/3x4lI
Vil7F9AFCGZQNf1Qw+lknyL3sthIGCa6bFY2v+9lEFYvzDtLBYjwrfCjKPx9LwP1QFU13UTA/H2b
8w9quF+FMqZL/YYzAhsG6m84dz+fh12PI9UpLXnVqwdsUMl0U7bbH34pfyGg+024/bOqS8V0AcYH
MPcSX7X4M34oEzW2oXAg2+rKkMib25VptQgaY0MvjKtYBUC2yG/H9Houhe2e4zh2njgh9PQavsjk
x2o+6gTFVXA2y30djycRZmvbEOtZaIwxZwMqSXYVWkqQlcp+aj2stuVtp1JGTrG2nmvnZhTtLpyo
T+J83BSi0wLLrA9KRaSSm75lU/qqYIbvq2qPKfiJgoEhhIgvo65du3q2d+KWdNWx+cpEZltlQgYZ
J9ZW1GbvK0grV50ld/VAZ9w7yT1Es9pofX68p8hW96qH6tTQKig2xWfWejHyARMpSf4ZVtD83Lzq
iMkYsfC3zabK+lPYOUtk7LJCllRTlaO+jW1xwAKWM5Iv7gYtOoS6ft+MPN266B7TnHz2eJLvrW0e
JrMpNnVSXRTxSC5FjYPREqHlh2VzixcV5YQJwy6ajIs8QtzUtcZ1Jr2IO65/UhKD+D5nxLDoYJ3X
u6+JQ/SXi92M2rdEmG8eHdmY7M1rscrSOtnZKpQEJp6RPyY9MTKVjg5hcFM2T/Pj/7J3Ht2NG2kU
/UXwQUZhS4JJEqkcNziSWo1UyKEA/Pq5UE/b3W175njvzczCpkkxVH3hvfuMvGTnw7qn7LUbR2mI
Mkx5p3J/CfPJnrWays9U1cEnY/IkO2WQP5KdtVSwK92o7YXqexF174Srb/2eiVauzLU91syVZPEY
zoAmwlowJo+Ms0b0TdAN3m72nPcqWQx+U3Pee/a7aPM4EGnyVeQ0/ZEt5qDu/DtUUV/tRK31Ovkg
mFUxrE73MamyTIXEuoShNJjtm5GmJPzCKF6hxD9gPGSPMXTbRCySKguBrd12amNruo8Dtb9CCnA/
RD2ufNkdYitulo3bLQydOig9goOKEMEHhqHNwA1ILhBTc5HemtaSSxAzyPGHx0xnzpBM7tc09V8c
I/sET1lbC4zRijI+Oxa5bNZRmmDAdPT7aKpvC9upYPlZl5EkCyguY8WXdXwZUhJAKlUDiVe8H543
P2duiDyc+3tIiw8bHsh2aPT7LJJMV8CXjxrJhUPUMXXXvnaaeAbqgAogi9dkwbNLBSnkzwAN3BKz
kTVlh+pTWKzspg5xR7Jow6FQ3zkRRGbqCr7lgI3vMzKnDs48pleupe7q2uQOqj5yJHFJVkkSAKov
sLlYpjFaR1TBDiBTEIibJH207Q5HfSiZcz5gCh5BCE3pRY5JMtG0m6ZP/aXSkHRzYQ7JeCB6ANBz
GTR+Va5b6TgrBtHryKoQbVtHu3VIc2Lwr8FNqPhtLqD7U1t6T7FwPhJ9rFccazW7PGObywooynRO
OftKyvo5fRgpAv1z1NuQBWbrpimMDaTOm9KwDsrQbuAbBK4WPZgZ+FvhsI/Wz30VXdGIX015fJzb
bjuzlgNY94URE+ZYj2jnFvMltv11VkM2aBvARewmmmo4eV65aeoM4jWCOHa7it02w8VUaGyYtMup
ax7yxM82odl+tGAIzXp81NoPp+ebOLje1rLhhcBLUmQs+6GiiE37SdM2OnSrBy8axl1dk3eTRkQg
0PZ1FS2W9ZSXNnj9GZbfUERQu1POrVVW2tW0Avdr7bqpbNZCUpcJC3dx3W5hjj4pJR/aWntG+mZd
670zX3Hh1dtG1q+1aRzixvoyhuKynoERSh/kUs7s3WFTEST1INZaSnR0Puf+HSE40zHK49skit7Y
kWpLcyvPG8ZbFJsdevKC7ZjdAUY2+RRVfJckZRr4lnbWD+1Tb5QzyxEr34aLR6Di9UGi4O5Z+xln
ACmEbtD21XypdUK7c1MWTdPkq020hIctbGkAYm0f2J2X7/k1i6CWXWC7w7AfjE7tmKeXawv7+k4V
eky1B1g66tgzsjhw9oqk2T217BUZHTetHS8jtR1NKAWqFgLgZPM9u8YdpfZTY4y3kdO4B/w7TyVe
wAUmFp7+97VL8fCLlFrHNsHoCO+j8IiU+fnSdWVf4Yyq+6tSkANgXKbizuVVO3QL6f/Tlf9cRSyy
cjo9zL0GIyKPQdDSdf1wwbdtSSygatWVCDdh9lBP21j7P9Lw//cUyz//4SmUrKVUvVRXFT9MSLCr
eHixq9v//Z795ZP4NJoetZVhmr88SRuT1JsWSl1ZzV1dXowafMrD/36KP38svFU/PMViN/jh7+jY
O0WGPaorW9zm9XbOO6B9l4X3mk7/55kWjfPPVdfPz7S8kh+eScaDk7uEfFzVE3z8ggW7edbnjHs3
Q3424y7/33/Yn30ShsAd6NggvCwmk8vL+eHpgBGOc9MZig7oyegQ07l3UXw+5f/2Gt96BofG4O97
jbtevjYff+40lkd97zQYCVPI8+7jh8E8sSA/vs9elnBbRGGCdc0yEV6U998VYAtok7RFhGGMYARn
xe+dhoVBGxc2AxNU+xahjP8MFPKndAmeGD4Iqnz+d/mu/PLrisIa3GNe9qeZ0J/VmPQvzcQ2MMs6
YE6DDKZGPiI7TNYkaR8TcgUCx1AtKd7DVd6WB1bN2qoFOcxwsga3nxDZmh5ZfHA1ErFMXuEXTHnZ
GniFB/9Pcfsp81jOVP2h7kZAOavLYtQf1UyWQ2s/+TUCUYH3aht+5ovjf5R0+JtaxfGKuweoLlKg
pEofHFG8VFN5P8QoKMuO5IPQdR+aumPUUzx2vvYYFhB3XBAdVnIcsviiK5OXthRoDhBmNJbzzrUH
h5E/DC8Y00/TJBTQKJ8JiZ42dmoB/e0wi9VS7Znk3k9m1WyiTm1te+4CM7UUWjM0oJkmvtT8rgMh
3Yu2o5QuZtiKkbNxMnGDfuFL3fpXiYNSxawXysoSExQqdRLV8ITY6h2d8XNYm5dtWbzbtusDf2uo
uSCD7Vv2tlHlo0ujQUujF2l2w6aSogqQ6IPPr8p3ZfjHTJu6gGW3Qqa9cDZtpBLc4s2aa+Gia7Oz
2g4vikgGc4JqAWvaFp4KSRr+PjKdm2keviZ2+uHlzZ1FyGZozU95hMZB93iRfEi+3jgrpZDOmDph
X+ZYu9fu0B7RYX2VqV/ifNN3Jfk3677B8Zbr5qMdOTd2NzGhTrI7OzK/9gS0H6ZkebjT91vb6p9y
GGItajoEHe6273rqxb5Ld64rn0s7BftZ9SczdpDwZMCUagMdj25rK3fOtjoWdwy0+q7uMOVFWTWs
+opPDWobxkryLD+Veotwnkytdhe21XkSgrib8yzCMYLN31HzjScdqgZn29d2vUYrRm5vBnNT70a2
1nNLolPPN87xlAYqky/x1PIZ5mYVbVQz32LS5FkLsY3CYRvq/e0srDM0atbKM2WBWBtGHsp49Gx9
9t6V45Ogx+UErt50gw1iUYaMoha8q57s3ZqyqtTivV5oaaB5+Ch1vdy5gOkMPenXra75+y5W08oa
xAeJaxdiLAd29mm1afwO/vY0BSZao02Uj/dl7dCLojbh24hM0ere2t4nC3MReNhzNV/lEEjPbSSB
AcnOGOfkpwAyQwqJsK8ZNs2nQJK3AbGk2XkRtUriWFv3U04JsApppd1VyCwZWyK5NGjirmiDEGJO
dRJfWfUYPUNa27SSr9BqWSGcKmq/tHP7NW3PSneifez50W1c69o68p3xGpD9WRjVibUhEA5PBOI1
EuGF29aH3tNDoILJ+Ll1sWQekJq8xlhyXTKhYGibWuZTpnQ9OZL92XPOyNgIWM2+61Hfw2B3JyTd
qCOWPinMbIeIr8T0ojv9k+ZghkMUBsAhkEDVeu6GL5mTxPZRN1GZApob++pfG9u369Lmnvr76/K2
ey2SVrJc+/OVuTzy+5Vp6qwXXA8gtPk92Pj7lckmA28bomnBfO5z8fD7lSkgkjLKYovqwSr9XCJ8
F017vy0lsOtDUUBruoBM/8FwjrrppxqONa4Aj89LEAzoBAwdXvqPRZVGM5M1EKYv+8nFaZCalZOe
uGMX2EeXyyt2bkO3zqVzcpDT9As2eOEHN4CEBwPnVm7kFzWIYTmVZ7ItbgAcBN3CILbS8CiAEqPl
IQoVTHFkoWZD7XUR6+pxZjrwOWUvmYFgw3FLdK3z1sjpfeMZzDNzCMAlPSyoLj122KBHV9g424fC
eDMhQI+DwnimokEQTYMhJDmjLe6iXWZoaFyBHrrgoJDIuTSzusWxPFQHL/HyXe35Z66EFnxnMQaD
WJwr3MP+Z0xZsySWpUt2WQ+wyoRnBakalWh67n3GnEl/iTzzGgaBfiuadJ8VZGBs6obl8iYn0grb
tRrfelbVK8UAycNwy3ZRsZj0m12VuPiIWU57qgYPKaTaWn15xLNRr822Y5YRJ5t6Rikb+9amDId7
Uw8ftGY+YBy8GWi2C4xoNqqiQesuRuVc+oNLgVGRWiTNG5ADr5VWnsve07js+yNUBfajWrUXSGpW
jW/cDL12cA1zU4QkNkfVVxMjTa6pvZF0Z8rN9xRQF5FfnHJzPPVl86ZP7Y0fIy1K3fvMH1AWe/vQ
iC7deGhXtaxuZYWro0gCWek75bQ3TScCa1Tohe3H3CP+12ctJdozHHIclrllblL/a4G/yJYEWap+
o0qxY46HY689hkl75WfdMzqYwKM3rjRjU3jxaS7zS9xhK9+ZT0Vr79vRfJxVeUS7tQIQS4qzva5S
tfXj+JSG5am1iImABwk0+Cx1kNO4+ovppFuRdMeK+yMqBUGRfPSRx0CgwdkDSUu44wV2zm7V+/qp
5/Sc6vTUuOZ1PUEYm7V7J7YO1Ad8wj2Amiw/tIZYCVyFflh/+Da7mUI+eml8j4/ypou1bVg5F5hb
twjOT3pKspg7kf9pj28DLwLdmgFEyyBxcT5DWLZusLRFnrHVkvFcjfGhbAFjiKn5aDzzBuvQTTPh
cQujwbn2nAaRr4pPbmizJjcJ9JR6egCdiJKZQeoyUUEvunLG+hIGxYUy+Er1vn2QQ6sxNFBVULX+
lykaT/rItDG3LpiLXY81MJ+xYjwnpRdYdf2CV46vn+UGVRXuWPVNW80KX/CXHpU/xluR93eoADaW
ZhHjYDPJNrE8wTgrWCTm9uLbbMZFUogEPzaOoW3f2E2CwM0mLzQd+cSH1L9KK23XIt6uUAvtQfyQ
OdN66bYejWOX9rssjNYO0V+6avsN3w4+rSXKwu/bqzqMp3Vht+eUiSRyTe25zJNLO8wurFrbGdaC
3K9PlYnVTdX5e8XsZ2vOWrDMEQLKJt6szr12pDiU2OTgGKUWmRXQ5sMZKYCW9utSNykTYwcmclJd
5InEr9tp69wsnzoaGiAWEEa0fD71hnVEfPjFtWrIm8Lch1Xh0IBgdivS4QZ970Pnu2fEWO2F1sut
JIWcEE11pJOZVoPNCZBrjB38qugDsw7ZtyZVvWWgdlHWhqLsSS6zrL4fXIbUaBTuItfh+24kbGIJ
6xIZJDvemrhG7WA16b0PsH7tJ4ssxNHUBWlg8jwGRfPv3f/t7jcZZfz93X/6GF6/vP753l8e9cO9
z4IPogPIov9CxX+49wlGXIzqi1TB4wb//d6nieZGFwRJmEyIePgfrTLWdh3vOkAzOmiDwdE/uvZ/
HhJx7UNaIn2RThnKMjfnL6ObsIeT7YTJdJkUV9bkLcF5kyIZyb8fZ1Ot9MlEgWgWF2KWN0zo3+Df
aGtPmzEvxPCcJ0wEK6/zSRRCbaNbJZZZ981ndyB7/2Ge63vMBV971vG1hgmGHvVZVnmFWtVFsYVO
STfzixK3z3rAF4kJ3jopvY7X0tWXwJrsAfHRvLVKl2y2kNvRDMnnMZ2nTHoP0TS/aaEo1mHm79k9
3GdJd9X49ikR4Me4cW7zjLahHOE7DB361UVsq7XnhuAXPYJvzMeSvxkTuID6K/pDL+IttVa4qKy3
Raw9okdeQ+VYUaCdpIjw4uOFKTzkjqQDsO6DEZ0m9bYWktuOQRTDiC+ln1ySZuViiqqn25lFWjJg
0jWqlpjp0V05qcUYF27ZKqIr2via85zPmblxVeiRa6DLM4/uOqgRp5Fky3HrMXYWaggksSeBz5JE
KH9my9ffuhNmiblxmA8McDCjpLFvfa+POh8TR4m0YHTbdr43lML0Ogj8LYGDi3fJ/eoGNOQTHkzI
UZG0g7DEtVCTSylcDBLttNPlCN59wBzfoiJIIxhvuj2svRnYTegY97ZXDWti4z+q1DlKvfVJ5J3R
roEpclu+OHHY33dF8ZLIjyZ0aNUpER27Jb+qPx8bL8XfWwCL0bVNnFWYxT1IADoS8GyyzknueJxs
BDEVa87cmV5rw6nvMbbdRLl9Y4B/xiZz6M1xN6ZpuE+c0IJyHO4LkHHrqLbOpz6DcK1V3mHSJiLu
c/GgDY0gzUPbKt9EUo9Gg7yklQjVYfadbKWXFV1kVAQ+JdV6qKtdkrBM1D0CU8yQ8oysX42RTNP0
D7OUj9IxvyLaZt6T1k+6KC+KMLufvPg5ypsrRK/JeuwEVeH81DZFzn8+3oc43dcS/V0xdmd5TxCR
mc5PAwoYnPSv3ZRsaATO/TQBpFw94wvrgtBSCJJ19L2yWXx6zX3cIniuekKVdS87z3DpVDO3fOc9
1wSSrJrePTbEuMyxvcP+/mhM2rjTp2md9/0LVpAbaLZbD5CPhRN9rHTM8u5sXqQCs2/tFshNhpNp
Rdus+JIBOu0HPIDtYl1JFq8KWpagdKarBO6nYDCy8hVKxc5rn+a+HZlUma+g5wsG/xkKOsxGhozM
1TBMd+6MDXkspcel5N0VRXQuav15FvGRTvTaYsNiMDNa+bX/hW58n/uAD1yvPuDs4QsY3skUUiDc
wQ8ntSt+UMYdX+MnrwMoBgMC/Jh73foWQdpTg1ZPXZUhrrq8NdjaRiZ7ypBLWLrcgqJrDPZBo7yi
irrJMs6VGPnnIRxinaGZobaF67+NYfdKEXUVGqDYQo/kO7w64ToHM79pUue8Eq19NVtihxI9Juxl
qNPbqjDwP2EIINuAUITywpqjN6MwznrZTyD5fW3TZeYJk2K6IuSy3U5SFFsKmQ9sb/Om9+hzmmVJ
CV3MZ83N8p62j/rIYQcb2s3FbAAtMA0ccOy54u6mgalGNWQd3Nk+wYc6L3P+yiSrAxyk2MFnzQ6m
KArSOKfk9uzg86b7V5i43LV/f+UfiukvlNTLY75f+Ibzm7v05dzq4hd3tEGSpK/r6GDImzKWqJDf
L3wPFQ4yRnjLDNV9BIN/XPjLbBw9y38TK/+xLvFnMBNsRWbj1vIaqD0s4Ee/3PhWLCsCTb3ulGdu
vC0XMOhY5mgVrqGhzdyRiR+Hs7ux40GPMdoPZP44Bt88jPfmVDAfnhKqSBTM9XQJ8MTBxCF65TBN
NUa3hk3vyNjaQR7Eh72ybZm0uN7CdDADLfTLgr7B7e0rr+/9pgg8iPykrDmO4gQxtDptX725a2BJ
dxBBWowqYzP4LUKPuNmlbeUDaNbjQ0SMyapWyr6vywp4BxPrui8JKLGzFOlKrYZzsvymLZbm4uTJ
rL8x3Ey96YXjVHBl4ugNze64la2eXyRuViKVKMNTqsEwhjESY701qKCFsqZrwzMJhexLdaTJVycj
Hbqgwb5bKozZ2HLM5hVgfruWHa6ddYz360Cj0N2Z9BroiAvnndrJ3w2xVChM4DbSG+0kqVk3YtbJ
rFv8zbLXRxv3HWpDp+swzbr6dGrA72wzSJVbuzIwm7Qt3BkufuuNj6nb16EO9MCoADX6fmy+WMsM
NJ4ZqBCc0ptvGRqE875uo8OENPDJclqLEHcTD17FYnymabvsmeHylhaHGg70rdFSfaxTAJ1HVgA+
I+IyPk3LbDmanOTkLDNnn4SKTTr74jTXbKLzumDjPX3mIEfTO+YeeQGHon3oWb5sWz8tIBwl5tGy
DInhOG4zLLkhsp1l2I7gRGOg77RXVmJVAX6b8hzL3nDeMtvH+TYD7tPEtia++quymT6IKo/OxjIh
islJPY2Biauj/m8BUpYT/t+u612iIAW5ZhGeYBvAz4osaQqz2fTDM9lo7gOymUcac/PC1ER1ycsP
t1oGbrEtTayBTaNfTnMMfFCo9BAluL1KsDnIOarpJl72REOr6s2U9OMmGuZw237SdP89Wb9pHDnU
/v5kPU+K6C9mqAYP+v1o9X+zPdsB8my4eKuX8/P3XorxKhFk7jIS5Yhk4ffH1nEZagqPQ1S4n4Dn
7/rGz60jR6tHDr3jgRD7R4pv708TVB93ClAMHC8wauGB/TxBNUKLxVrlOad41qzmnu2DpPkuptwI
4lhjgi8QKieEiWTWU/Vtxs+0X9csVlHL/L/53AV0n3uB6XNHkJcNe69vmwOnheDTtuEZQT6sMktZ
ztl1CWCiAjQBeedlVGaHeMo6TW5RB/ZCpZiXNLOojt9KDw2wubAr0GXGq4n9xAjWArkgBbaZTYEC
eREb4ROHARAMcm7x98pPOEYmSzgZCzFjIEIQekbMf9Vdlz1JbUdbm0gage+U2EkIGEmqjd5BnA2L
oXqjvH2JCMFZd24e0gAV23ZEBVfm6b5OtT2GiQ4HSPGmM6jgQAytYLbz+yTS3s1jVUzH0oYOZXm8
PZLVYyjDO6MW13mpb/xp2KXztdG592poH10S4Wyc2P7x3x/i5w9xMUT8/Q9xcYytALG/Nl+Sv0LB
LI/+/Rdps4VYiC3+f3cXf/wi0QiwUBAQ9pYJA0OMP36SDv/EJ3GT4cP3Xcj3rYYF7Q9IO0uP//6U
/8l4wzAXkPMfyhTOA7jeFqx4h0EJNc+voGcfNh8XpBWfNFKHAmdAAyPmiZp5mOqXobGmfNXVHPvM
ZEnlXVO7O/R0qm7T+ynNaM9nNIwnZO12UNRw/wHbefpwPSpRTq89/T4izgjGOVHToxxYmoCFE2Kx
DJN8iT/VM+r5oOs+jNtdB5orvhVdhxHAIYWCkR3iIABvc3qXY769t+kNzLWEUMJvUQCINnG9batK
ot/sJETXGLWqdHrvoTAGPNwTbfxDRbNEHiQAAORqBZZ8xqZ1sc6wMV9Z2VA9W0Q4PUOMJlwM8WtE
JSXDS083IgGfLk1QCzL7wEI+5xHyWzdc+6V5QJKXr3Mr7Y+65uUnzy2GG7Kj4g24BtNeA30f9j1M
FLAjtXgxSY6cmZT45bwa6EGR5IjE8dapIb0bzRDgNOYuT/YSFMt7bmpWEEf21BbrSa+dxtz2OP2r
cMX6HO+BGKxuh2SNUU2QjNrw3MHrMqhDwwH9gtFTk6bfKtT5W706KYSL/h7ZA//aVDXRztO7+bpt
hvTF8ov22vdaEPnSNfyVRC53h13w5FttRZ/4ydUvtGjQN1G7zB+iT/Y+mSpw+BEjp8+ZbM270aeL
I6INVsUKRV4i97qFsZcJLzyIQ03U43iWe4mtPlwlog9Y4N6u70AhyyQuaypqE+SL1rJn1xovoFxt
n2Km8w3QHs1f0x2v/j25vp1c/7M5u319b15zLBJ/0aJZP7RoLFyJiOCg8UwPKQAI0D/qCFxlrol1
67//hEd9LyRo3ixOM2wM/J+JVumPFo01rSHwVViOWJo3RE//YChrLs3eT6cW5yInIK8Oqihj41/Z
tIi9i3YmOeZylDA/bGa0W+KH0s2ie869sWMWleH+huIzPKs0P6/a0d+5uoCNXGPTDElBCKBKGTdR
5G40wZGWT4VHDE6infPTeHVCcz75ffeh3LrdeGm2+ITCW6vX3GMx4LScYJhuK0BMJw7YTRrFDywv
NwqMwDbxxRmClDP2ZV+zcXpQcQ5UJrusZRMANt6zbEhXfsrik7TCKkilEa04cWXA/LBFFdHHrCLc
j9Sz75WrvWSD9qGGuA48Kv71qBjXFWX+pc7RFGW6Br976AMSdTG9Z6ogLs59m2IKA1DRxlp6A97V
vkuCfiof4ry8Nt1o45Z44L0Jw0TdIywiqKKPoHUf3Mq6wZl/xG33MSMhmYor16gUdIfsVPjuFtn4
Yw7kITTDd9q2u8GBTaGnX6domTlJ81o0LNNEj0l+iNp7GgNzNfVdxRkYy+3YyXFV+7BfObpuc/g8
AeYKlpRCB4Qo0efrBTXgXNoz5RQU1TZM/Y3WLWmcpM9nEMQ5HawdOcDpjQOVPRgZ1sErYhFuJIDf
nVKzjui0k5XHKJueF5/HrDW4aEZcsVqp7/qxPYDPTtiOd8Q+Lknl/WdoeREtmEJzIRam7QIvlJ8g
QznM69Fy1WqgLtsU4A6xjOxH8Idxt9D287bzjl3Ytf5L48zJl1yWZBX4hkS6ZRvh1mkR+3p6AsZ2
9vt1xHRgW9ksZPPZTO6FEg8NyFm4CP5LRtAPnjP4HspOGQRUPcCQSdz5BUTV3MFKFvY7ye2156y/
13oCLHtmW5sxnIvdoIhuzm32oF5rFpftwkLReS8tHIBjPJV3fANA7pNItYbwNV4xwsFM06sK58Xw
1tJTnnuZOTByjj8qA2PvbE/6JvGNk0ZcdbciIYy3HhqI53f9vunDZm82rryt3VpeDqVX3GUmUrQK
MCu5fuTCiy7oOhfXds/JHdEHjy553D1YVCg4fbnqyulSdX64pg+AVJGV/sZJTHXeuQbQU9rWs24C
gBBW6zpWD6xVMFggN4fTVaVBZPto6kZbO3A3qJcsVQoKSR0GieiK3ViV2XtGM7+XvarxHIizTMVE
A86wPZvOn9FGzNylAPKaa2UZ4UUcWeJIIhlZph4RDlKDoV5i3AaG12xHXYxBBwvkqIm5XLVGpq8y
Z5w3/95H31paGs2/r6QvXrMPauVfLXs85nv9jFPZwsXGOElw57Do++EmInHPt2lNiQ5hNYck9veb
iO0gm7/fb6+l2/1eP4vfXKpdEPKeQQ+6ABj/wU1kLWrdX24iumn6WgHJnTL1V1Q87mQK7LpwLrNB
Rufkb9fh7ThmRb13zSTbKTabAGzA29b4UGCHyoPdYHByes3ZZyGerJzV+FEp3YdcwmW2HQmUXdke
m3QLMpBwMKypFHliFhVnms8u6XPDNEp96+YAfzE9bP1ZMPdHaDIQPxaQCD5jvY2j82JU52kht5oY
FrlD2t90Q3swh9F9kaOPVjGN/Y2CxCP1cj9jzFFmdFMbLNZ1l60faazDusibfTcbJ58sNqiM14kl
LvlNHfA53AL222ll+6RFojovwvK8jsk2ie3kYPjqSRLjK7T4Njed+yhZSnBBZ21TdzNIi545dA6W
qDapHj5bPvIx6j2u1TpEODAo4kxYXSQ2ZxgZ6+uGnQ2nun9eW1izssbEqixPNdAcKEXRsc7tV2Qh
lx1U5I43GmpYuZ5LzoUprKg7M28NuWIPvSPQEeCT34hzeS5AXEPd8SrLCCxvOptD7Uk08fWkbJJi
uvTQR+gzaq+d6acZKIgF7maEUDJVuWd4+ZwRIsWIDgyD1czbaCJnOKri95ZzYz1VhhMUpOlBED+T
kW/tcmGeiso2A9XJOEia5qEKY3tjNV97BJ97N3P9DVJIIAwIWRG6fNXGFqiN71M59BxkCb6hwavv
RCMgS/pyD/X7Wkbt3h9QpNrAI9Ku8tZOxEk76tH0MhUIZiL7i8dgc5OiIEE7ND/bTXUG3fJl1Ofr
GuvN0BjPqgJ41nTxV9JvgAuqDBpvS669N+0zKifwYEaLZ0nB3UJgohlOtI6raJua/fsEEYLmytp6
Q/Y+kRLBjdwsDOjEbd8GTAoXjK7x1uWLCbrDkCoDtVij+fshPU6LXzp0ErzTAxAAb9UJD6F3zmkQ
QFXBZoZ0Ba318o7P+LVXSUjkAcfJ1tfAfq3CTIvWDGTi/TTolzM/hmt4F94OcTYAX+a7K4Y+Z5aV
WmvAWCur5jGIobVL9rUIdke93Fh822g3a4tUa4Nbz7aS8YDnjqV2XSZnQoywQgZHbQCUdZhYYTjq
w7BVUMyEHl0CnsMyZBpHq6/RkPn+NViDKGhleqrdig7VeGQDMN02hpY9F4SUowYH7msZY2CETbUR
HV/IxrUyWFAR+haY4yNRmUyx+c2iSOR7YxId6xUEuBiqH04AE0lXKYHna9ORS3uT+bgF+7oBPoco
ABNq+9b0i6qnYrVoNYfC7S0qSnGmCcs5MyJW8WWVGguqq3kxPaydDnzVTR+RwWgvI6ci9uC45U21
1SoJArSb9ffaMJ/SPA+3qPmocxsldsVMRk2WIaYuc5aXLSnquwEYw8owl883ZHM42+F5DY5EIntP
+EWtFclOKfcukmakh5qzNSKyGydrl+Rhtyl9+E7p3DAN98V6XLR4luj5hEgChb22BT07bfMiv46d
hFt8gToCwjwXEZ2nQleXONkz+K9dr7W3LGoH8kHgiMdEwhRGdmz7Bj5EDxsHdN4urKq927dfIytk
6c/lgYhO8oNFXm8exZjf5W0qL/x4YL2dtKvShlCdl3D2I7DzbC8eGSJulV2d96H4GEvTWBGDetZl
irm3Me6Qud7+WyF8qxC4Uv++Qji+fvlo/kJBtMRIfK8RcNToaIeIXTIdUmggKf3Rreq/gRlh0ciU
i9XNjwoi7zeoTGiEYDAJxtI+5cP3GgEfzlIbCB5gGfwq/lGNYLv8l36uEQSLTrQJeIEY84nlRfyk
HNaNqTU71KChn2+9hUnYtU6xkmAKSaN6rMAWVgiKsGlMZ0uXtyvy6CjLfq+DOrQX5qHynXVsYcAp
PXk+lihwZj/FVT7ogQEysVjYid1CURTgFElwQJmX+P7GTqp3o6dk7kR/6npyvI3h2QXKaABndBZK
YxLFL64vAw2R8ENj9voencZ5lKtw7YX0VLzsctsDfiwXAmRkmM9gdInoWuiQUOraQKHUobULv5Ko
9EG2IuM6bvaNKFNy1wBNlll8DXXzdQZAqS2YFn9hUpZOMm8yMJXOwqvs4cKtKvioq9Yr3wRQyxi4
Zc7wEtc9f2K/kC/byrjSQGGmkjQy0JjpwshMG/LE2sS8ctL0Si+scZUkhB6rha0pF8omMiIidVv1
DuSRDaTRJ6ssFnI7xyTqogW9Q3xxxewexqLeAbmypHeBJ/62Be9JbOx1W6iGyRiqSw0EaAwKNO7G
c6KB9bWnFncOuNDIwJUSlZxWzNlL/PUO0L+kFQHU7PkevjRh76XTY6dG1RMtRFLCMVOUDeMXbaGV
RkNMhlehc2ssLFNLCW1TgTd1F8ypLSoOrTC8nhYGaoxbfjtF+qI1yXG8LqzUYqGmlq62Kxc3deJt
y7R+mciI3LWRRcRGFefbLPKg+IFhBUBCcCaQVMisIXzXGgu5B7VVRvk7igowsQvRleVrvpEL5XUE
9yo9QpijpjpiEQcKuDBh2Rpv0wRKrA4uNgkNEtAXgqxp1jdZ6MWBR5EZpAtnVvTse5C6WPvGZH4R
9fN73+gWHpYeEdbCqk0Xam2/8GuT/7B3JrtxY+m2fpXCmbNAbm5ukgc4gxt9q1DfeEJItsS+7/n0
96N9nNd2ZbmQuNOcJJCplCIUIjf/Zq1vRZBsp9E5U4ZAlR7Ue1WQGYAe+yrrmxlOxqVsSXKb/S6E
rOqPDhtxdZcBzu1mgm5Ixsaiduxk19DzL2u/J48O4i7y18+oULNFn2IpoZKmupgJvSWOME+nrEN9
JXdQbF7cSLzpYH3tme8rBrq+VEOIpjk40YEAT0H5RmQHDWJvl8Ry1K66oaJsUPJMbN9gCFvguoeK
qbnZg0IOngafe17ETr5M2lanFRg2o9mY13afvvRZwRjKCQmtrhv0Rdb4OPgzHZ3kQpRu2ixki1d5
TiBcHOcgY9p+2ycsucKcqgmB8MIIfAX/DIhk6TBVgpt4P+XepVLFqR3cetXm2UfYlFANgn0mnGPn
AKRuoiM0ta2I00OgBWc9osrNx8hfyKSFdV3JWz1XHTOlspvFxUfHhPptB3B8bR8ZXswbd/1d3cuj
rukfqrE3dQz0IodpnnvpeMi18VXojKe+erfKgXF+OHbqEE7Nxhn8AbZ7ZDfNU8bwId8MQcHABz5u
fofMvX7Mh6F/GTwByVHpdVftzNCxPvlxbh1w+yX+NbkjvrNvSk1+8nwlYKMRQLdNEQqtoME9GYFU
a2sQXBqen6w9rpedzOFM9hFlRM91t7YK/FdchS+tbHdTnAo0UmoXsJBgKsbjvQ99pFa5d+NM02XI
2maJRXda0txdJ8qPH1qDEy7FpABUKRFUTtGHX9k3laKN0nqCV8K62AEySZY2UjPTbb6kY/dYWoAv
uYu3jkfY6zzmK/Xp2pXhsY1Ha1kU+qsxcI7nGRh4VpZGz6qiabx6VyYaqsrau4yxLpZjA7BFw+K7
yMj1i/fZDD8FLfdq512wNgVgVBtCahhHbwJiah4NbwME1awci8UEUxV1OffhjFm14a3qwynriH+P
dw6leTZtwzbcap1z8WdUawezVcFuxRq992aYqw3VFeuJAQ6E1X8yI1/ttCeOho1OMONgqxkMm82I
WBDbhPWJkChc8LGYE7dmpxvLtM/7hVDlbRgR2cnC4+Rhl8lnDC1ylQAIh3ZfBuJKBqBqLR9Ac1UB
GYFii/XlOodqq8ETRXCunlDlfY56wLf9kBz7GYXbDc3RA3Zilc4C3uZlnKG5AnpuMWN026hgOqvD
8XWAhQPahcbrL5WWG4uWXjtDZbEkSYc4jWSFFffOdnH1gf95V5hSNv3EYWs6zTGa0b40lYr/cdhU
UH/ljP9tw4D+BCIw7B3OZ7rZuAOgroV3cMdey9bei5L/BtWqAy0cm/ypdXBd1UwdtsEPp4b/HuHN
tMAS5xpf9QAVNx3IUsDFqQi2f9eT3+pJyqt/X0+eXuv6/U/AeXMM+g/15GzNJkzNFLRus33+DxUF
Kbvzf0ZdDrgOS9ofMycwUYyo5tgPXaKzIMbj/9WT7j/ZVSh+IoOnb77uvzBzwu/2az1pGbwxi5Ut
NjTJZvnnerJr3UFDH9FfWOzV9jrovAgOig2x1x9DxMvCOzZT7JvrMeq6+NFoDYhwoE3DZl9MoY4j
DDPtqQa3Ma2jQTSUYn2RsYbrMxLrPw+qhziUMHGe1o1f0TIjJmOCa/juh6unRnM31jV8JGbKQCK9
kd0itqa8n6XS2pxSXSpfTPio4p4bZcoNakVE14OxToVfTWtpGymPPODLSJpiY9vqMQFPVedL6yEx
iDDb4FLbh8Kggc2UbHYFZdJuMMc2+uhNZ9j4EcKwte9HLKtnvuouAOx+QOmevIWw9FYu56K2GIux
W2sJMrguDZn3BCiv9RRDHDIN662z0KZNUwpHRR+1gGbfl1trDD5Ur5EAnDkfTM7kokl9eKAFXyPH
EwJe10L/Zb1wDHzY3s7cpPshD5CkgW6Hfgqxhm3HdP1NTMyG4JCteEiiNmfJY4yhvnMqyVzLA+tr
YHXF1Zz7h6LSkms5slZKBsPdOkX2HtuTtTUT019D05PbOm/CtY6zjuLFJnXEapPrWIdtVGJWSotO
LNKy7NeOljMRdMz3oNbyHWoULosOE0LqSw6a3EevrbS3AqfQTk1Ju2Ra42yDqvqwe8/bFoKRm50y
SFz1FX78pBH2Ns/T+uBaerQSWhCdec+0AbnKGap3y7CNoNGTh4sUrh9vXNfDWe3m6bqe09zyPgVY
X0ln0besprOp4m065nOSxYiASwqOqpI6YgIqTvoaEqIKCpkWOsuW/JjyBpwS3ES/b27skAnXNBol
KLAR1BFaNEp43R3WdcfTpJZDsR4MuwVLTuqTN2TxzkgARpPEnu7+Pja/HpuzGuvfH5t3wWvd/Ekb
Pn/X92OTpTFBoWxoWMgyCZ/b3D+OTUb1rJOZ1n8/AL+P6r8dm6SLIj6bV8ezCuZ/23DoegLRjHK/
qoT59r/k5LHMX3W9jAFsforBhAAuseNydv/YhkPgwd4Ku+ZaT2yQ/ZLYWEP2j52tmEyW2qUI9GpR
T+GZom5YwODcwW1gQjdhNOkG5z1vwzM2oXsZZwmx4KWzGk0X1akPMcIxd07SblTjrVNionvMfmmq
xYseewvazpfaoqwPKW/MAWT9UL5CnDqPTfuOD3LdY2JtqOgWo1Gcy0F+Zsm+9UeX6KQaS7AWpu0u
Kqpd5brHOvLX+Hs2Ezh+lmfI+63upET+YPdkiougXY6VDLfBJF6TSt8IXX8O9M7a2B5ld8HWeFth
OiBlEwOBpGWzhqbbOF6Bcl7buWa0joPoDjcQWXcmvsCuGG4yQ/p0VcUG4yvWA97c0cSMvZycflpp
mZEBBrUvrpl84QAptqPALhISygiG3ruvkvwjKVo6xawnobmOzrEEChb6golnR1Z4gCBwCSdspPZ2
mAmQ3mE1hNn1yUNjVRoAYTzGTn4TVAEUd8eFDar5C9tqzsw9qRTbrWiGm5B2ad1O2rgY036rT86H
ocFZA/R5MwT4S0hCfYkiA+tvoRF1mNvspM10OSrzfkrDF/Y15FzMoH8nZuUQEjBgEOFZ6h/4g9QO
c4VcibAd10GtOMg986Ztgqcg4v37uMGRKKHgUSRqtwoeWpGZcp3W7XsexXutZuLtkxBN5MmC1BmF
m5HX0QeiqD2WMHkWPDPzuR0qOTDOLLLFZLZE+PEUKTO8L82Iq6mP+L7EZEaE6lpu0Q5f8tx5gtDC
373Ga4lemIdb8cKA49RE4akK3XCv+YaztBTbfyky1h41cHk26FgmmgLcR34FDfuEShnkKYz8BTRc
7Lf5SxmV4aZMZntLWK0GSax5zxvtuykmpqTblYZ+LQTUNgumPxGjx8pv93VWPLRat83r7Bzk+Qal
M2YStMdAdjsmUapHQpYEpL/r3TPS6Pe6EzhHhy32zXEVZUyGMpVf9JHfarSv87Jvlhip75w42TT6
oZyumu7saeFm1F3E7dnFsLJr0Xm7xIIh1iqXaCjYrADQFy0dUJsTpSjmgFcVIXzW0tCj0A88BAgk
k2X80Cy1iiVKl3TZy1atUr37oIxAUJma9loU860a129DRDJf7nzY0dBSlRPZCOfV3RqZtQ+M0lpN
nkyrhRhNJh2ZO2w1bfDpPk2iUQhMZUvhkCBOHeMPAQY7L442aSe/tFYjN20Qf8nN7hlt3GcyJCLi
FdFc+GZ/TaFDUHeoOno91aw5jgh+tNpMVEfhJ82Rs6fEk8dKLBxKYHUZ3ZmVpZHChgW2/KH7WlAF
CFC2rRwL7qUy40lqDxRfztdCzMk0irKyE6azk45BZ1iZCBiutIzUp7tvRV7vVpp5JPwwP/ZWlgTP
FVmY3SVuih1xWQZG8jFZI0GVmzC0aPb16RWY8G3tsa9r4uEgZdZuKq0ato6mjhZK2xUWDjlvKT6X
eU76aqOIKovkc6wpZxl0HToOgIsHM+diJmUCe4GkPqCH+1R48jWIKsEgM2K0MpUfDKu6pRnkOmFU
vSDfZi61GsQEIxGOI3MVEjIwBxTaGeHrjea1R9DEn7qw/0B7vOwHlqy1gVrRLywGReZwCEakIURk
uHbxGsb5raJIWzTCoqVGGI10vr/TRXTl1e5Ji8aXJBAfkwG9sfatj7hLHxG9rbTpIMYhWkmrYpVX
3cbDbG3DazRP0pJjEthnPU70lTvkr70/QaU0q+WgoRYuw4m4GpFeKTueVmgT/LXOYFfwxFz1tjUh
9GvPkz4egaZ4Sz6FYmeTFrmoc73ZmuRuoO4oVrYbgrKsRu4lT7sn4WSy/CdR1UySZATsRCNJyond
nheviE/FFUosGzUVKqqVydSDwemQX9KhAN2Q96fCQcDjOCRV+IZ9CfvszPAXDVLhXVw0zBRbO79t
XpXbj2tK3bsx0co1KkmmLi4PECtqH7y2ZQrVZ0/IsQ+RFvMe2+m5ZSmE/EZJrgFEFQhTtWWVN++1
6z5wQG/0IjlBCSTlzTd3EEcfMF7Oo81hSTrqnO913TnFrWvlbyEPOryR+pXUm6O0uO+6THpbbzIq
XHbV3qd14NRlacfqAGBGHO9dayQX1gfCCJJvW1sorkNZX0hAvaYS2WSieSSTZwexkFTBVnABtnJY
x3rardG4lfD8PXurIRpf2hjxVyrutpmmGVslAsZSfKBLchguOgvUBYFahzaD81oq92DXw0OSIc4e
cx6CHFkMiScfcqJxTFBXLce5Dq64046M2RFeEYKn1QQvNJme7idBGd95RE6PZukxPzP3UobXULce
NYYYGy0jqJRDjgMO/O2UCm4Jy7kW5AmgaDfTlcqHz1nuP5lWiT7I/jxJk0ZP3xS1es5j/xlljVo1
Zrj30uJZzwnKkdVd74ijGWngcwFi6UlwFFX/6pPc0Nri3Y2JgmjDG2x3OKAb/S4j0QXJrrXhrA+W
f5fdX8vu2V32m7IbpfkhZzgU/snIYv7WP2rvOVYUx5xSYpZZzvjqP2pvAzGMQjtjI6qVmNv+GFmY
xJTyJgQmPEMXyGh+GFlgt3PwkHz9YX+19DZtivhfNmC64WL6oPpHqmPLuTT/AUhIDEA6DHKsLqPW
ISlciNaAwJERxL1X6JUvoVRn7MSAOiB24K2zgInELmWVfmt68jauqKV07oUB3gczjWMA/6Mz21NM
GarBBUnggzhwQiaBQb+DHDIW5klPOAhNmCJAfTaeb59qWCP5qN0gc3uwx+yJ2nfpwCRhfQd5HrX3
mO1jmCWBRoWpoJhQJD/CxYPDod8wzr1qyUJC03AFqwqwBhwU5UwosY0lZ+eDBYaZ2zBaJ1X/5kJQ
8VxW1pX5icipbQdhJfPUpoG40snyyoPA4uYD0h259AHftihZzLw8VxBbMPjsAgPJzTgutDi/REZ0
lUN4Ye6zKiG+UM+/uBBggqA9+/247GYyDIQYE1JMJQoEAR915Yp1OqNkiMI74EZ7pctehEo+kahF
SUq1ZNW3gT9ttShapbBpVFEx1hlrgNjhBQr+LgZ8bUCzsep0N431beo0b5kYUARmVwH0mw4KjsU6
H9nGDhMdhL6CKqm4Ymq1njx3b/ry1p5X+A5cnWYG7MgEh+CM3DHG8lh68auZy1sXJk8QQmYDxnNp
ofWQwrea/G5fTVjjoPlE7rA3oPvIdHxARrNWGfsSIjpBeoHuDmYkkJ2W53CGBKkZF5SwLltBL3+1
v6KESuqPGS7kD8WTEGSqkKX6Rm4ifJrqK43o2xzM+0opitws2Dd5VUUXOU14gyKpMnPbVeh6XYOc
r25WkM5S0rxsKSt5CsV5UxwIEeuW9Sw9NZIZcGJNRDKSccZABxM9uTcCq/oU3QpDbGMBdt1C0Rpl
NJbYjRySCJC7EhkI3WeWwEaFXa6bWRbbzgJZIrasVY1mNpRjuaLwIW3TVDEEYx6yeUEB2KO2dapG
X8eqJUkDJW7oUPdNzMtmia6riXsNzS5dKvmz8jLRP0o0vWUd96t5jiMR/IaTPDvoGrSe7ztXszCY
/xeJcIGF3UQ1HM7q4Tx97Gc5cTEDgLxZYoyTPiaeUr75fpMt9FmIXNRlu6qle8XYhlZtiL64GgrS
ThJD2c1S5lg47/ANP2WjeLDQOvP+A/bXeg09HiG0WbA8CmZxNOo30jxij7zKgkcyCmrG9pcORbWT
9o9yGD9aW0dR4hyI/QjJiWzXbLQfQ2LBCRYsr0i2Kam4mayJWbqdo+FGLUQ948ZzxvucUyGBAfdG
9sx6iE+5JB8wd4DoDD1q7cDPNlE87D0t2Uas1WFqdy+gwvGjNsMl1O23oGO7IjvUUwNprZOtEPPC
hLQxY/oOFEFRio1TIAwrTbH1cvHclMwiOaaWZW3tQ/Dki1aFz6MP88LV5OfQK3lWU6kgPn/TwKjX
Qo3LwdNXZeY94YSlJ3BrfkCL7D32lyjSwbA3VHNTVdwHPU96PRrH9aD4uw+e92zOPE2v8GyuL3ND
QiLParfnFg3jcZnn3JZoeZgjmgS+6gAjOg+dVIvOhTRxuO1puQ/DSfHeugOm/suQsnUcp5bWDtR2
oGPX7yh99UPTOxN7Y9eFBk5tjV33FAf6Xe83RysL7o2RnQhWt1VWRWxJJSGuatBOhNUabFHiB1SD
WPNTQlcTG+7+XRDE2abqaz+AIUr6eQeWg3axC/YS8RchgXKR6cgP9Yl9DYgg8D51yjKxFYBWRtKl
6GdtY0huwrwL/65FvrF8jN/WIqe8/sf/yfz35L2m7vhVsvtDLYKvDYgf7n4WJf/q73cR41gSowhL
lJkK8N08Iv+JbwTPCTBaxLSzLvf7HNAUQAEoRnQLjMwclfaXQH5If38qRWwDohDVkIn4hzWOPn/9
h1IkcmwUbJkbXUHOmCx74QVbWT79UKRdf7PP/SNr0+s8zJr6f/6L0eGfvIppUVMZlhQoiPh4fnyV
0kPpa00AAps8CpNVTmwY5zAzxaVnMvmKzLrCki2Mk+3D52mLIFomk3fsULTe6kVwk4TOlt4zPPW6
jhzX0Kyl4fDESYxQX+p+sO9Fum+74Bx27q5ojZM+9TfMd87llIOPMS9h5R/0KMZQ1fngafTSRXnE
Oei11rggJ+yLMRBNwDKfL9KtI5VrP0ILRR9LBgZauA24lT2+f7CxQ4wwQdWh16Z06/WDDbcQoUU0
m7aGdmJxFNOkLPEAPnqzsQvAqvlJpOS3a8iytqEeB2odtCU+vXws46c8N6C9O9j4dr47+8OMr16x
znSuFDUI6rnZRgbGEPhvYxam8ziJUpHzIZJtpVEdbo28h4y/LOj8wMS0VgpzljPb0i5OKbQzP79A
FpSzfSUuIJ937gj4VgrjAnsgQT429rudmcj40GK0d655vdr8ZI2+DSNtzFmIE8pxm8MvHK4DI0IF
zDj26FbKPhAp4b9gq5RPHc8HYk7J0ZNNhnLCAa9QQWCCMQtIsEMorPe1C18JepLKZLHWWoK8RTFA
b2qRVJS+P+47YXU4jVp73fCZQ8mZ6tca7fYw8ugcB0fAfGGSR7bDmvIfs3LS9bfkgxwinfEL2XTu
LfABY4E2khTSkb46L1KgELFcdbmxssvwyUkZEfOn61aKMQMeCFzOPFaYSlCdHNTUBmsbFeq2aRJj
mbmevKqDTnCslvVWmd2ulxmEmEHUN7gvDJZM6TnMknNX1dkGideNzK29Qye68lSy446JV76pX9du
f9dALXog38D5IFQFuXm8Uv2gPvKwXVlpvYq90rjXtXaD6GUDCTMG9oRWyUEEOiCGrVXxpa6b9yys
3kcAe3iiV2AtD+6QbjhACE+ZtnLQz6PTrRBZ7AxLnKbZblp1b7rVogrXNklvsIIiuLsdP5P5xOrq
M8xeY9WrxGSRhw0stroXS4VvyaTkWtVxfUAQ7C+0fjqJVFDGirMq2hUgn5eCP1/dUKBkjr32OrXx
hbNr9Qm5Sg2B1xMMwcqFSRT6wqgzfR9ZJFUZI/pS277md7y12hb2Ll0/8m+PSOMOdi1yFUJcPXHT
JJhM+rI5+mLgYiafPCkZUDFt4CpLmfxwE+m5vRAuQ1lC1B1aHEbpT9rEpBS1Qiv8Gyy4J+ggy064
p7TtbgIX8TktgfCQJfn+wKQS8FMU9HiyqhwWVKVfxVr8KY+NT5AaD2EdH/PEOUStcTP1xioh/zlP
kjMiGoDY5XicbJt1LHtCB0lVGds7nKkrt+L5G6CpGaf+gJd13JdTlh0aJ0f44mECDTKI4n6SrZiM
xtvSZfpcE9MxjVq5+f3Ja8wRnb+e74Jm1iGvSeerzi/nezAaiMBUgmKxBBrWJe5IgMYYo+brklOT
mv3K7ggnz4OUxen0bhRlfVOWsX7vTA7otGG4hWZ90gfiD137SR+abRmojyyOfAR0pMX4EVwnBPub
fOKaTkCk555VL3t20pgLYbjYTrMjQfgNK2+7DKP6UaCdWncGkRkwnPJFki37clnT1RTsGhov2xpR
tRWyu05Evq1T+8uYpHetHR1apJhTnRzKltCwIj85tXC3TT8SGDuGOzEE1rKmulEeybOBjLY+8tNV
rde3cmyZzwbqoAcu97Xp6wQZGcz9q+EhCqmdXIWjQIziIpk7Lks115hhfO6K6Sqoo33cW1urp8wP
E8hPGZ1468CVTiG8AftYW35xQjBINmQmLmHSA1JNdzzXyDMq2IPkY43qqLrEUXIrwT0vOiyTK5Vp
4dIs2PdW1XWIM22VTmwVaLUe5ChLJuThq6vbxxAPHKp9ZvN4KiA5zkHuW6NIIdcYL1E6rlJTLYH+
7litndmPfcld+6SXekdRr33xDDUtCpB8qgUVEyepsdeK+SxrTqGtnoWebHSdkpGo6ZcxFcYyqscY
ko9/MSfLWBE7GC5kETk7suDbx5wV2BEMQ4Uat0/3v79Uf/WwUogoAmccWziEAMh5ZPNjiYDOvYfc
k5KpDgLdjA6VaBe/f4WfeRv8SNNGKYKtxlKoThjz/fwKOOyxLLq+f5UoWJvqgrRrFxa3VQ+ls0qW
oSo3brT+/WuiQfnpBvzXV51/7x8KrLZgQyBNTTvrY3ZnodtGCZbd8VR8RuAxQuyFiNM41pPyTPBl
WbxEtEWjnPVzIH2YL7Nqes41+xQ2Ul+SF7VJ3N54cwJps6SJHhSd38qPx6OdyBfFEOBgJKZquZqy
nA2gna2dQitXRkGajZ2N474dbPMtz6Jmgy/KhAEefk64VtelroIVJ/DIUkHpS6Yrd61MJrwjKPz8
TuxT37wOxuYLPoMdD6X7uqo2qu5rRsnRztQDDe8SFUrSZ9mWlkhfluxGV1VvoaIIh1sRZKtZmE1v
5UM1dMkvqruPsmZbURfhvpLaDqfR/TBFT1KPDxZjByQzFGuhZ0IZakIWAq21j6foiNlolY2eWNHN
EZTkxZyy+lM3ayzDKD07wbDNKpa13sQVzBSg8dNlQPucR6mzKKbIWVWJdy5KZzlPdoyc5FvHH+4C
BmGLodCwh8ZYLUxarMlutloRApNs81flM5DS05uyIEyzGRo2JofOIpK7s0zWDw4nIl7UbMQS67Hh
AGxwVYClZBpg7ZF2vIOwgw4H+Le05NYv5MmG1vcfLrf/dI3/stTvGYZ2oGq1c3TKrv0rbcNo6bHf
Tntrp04Oj57lZ9Ev8L2cs0/9t+jZz8N/++9ICZPRz7Ofy/w/vdRBxjApFbbhzm/uh0vdKAIniwmL
PDOpWGQnsSw2zDmMo/Zkb/S1/nDRlqenbk04QvfKP5Kr8aQvDuHGu4Kznf6Hd/Pzg+/bfWfig8Bh
D6eU59/Pb2ZkeQUWKAquAv2aAFRWzE9V90398m9/45/PrH99jdnp8MMvPFVpqwVBEvBwffernTve
/P7P+ae/g414xJ6ldKjcfv75BBRM+LpKHt7adelyP1jUnN9OqL+5fLM39ferhFMb1v+4vCE//jP+
A9/+fZ2Ao0YCVyAZhg3jN9jeD+sEWNw6iwMadfOrXud7Cw+Hz+V7/ujguXq+O2ro7lk+0HkDpfoW
kf4XFJA/X4UWiyvXcPiHRL1iUNX/chVWWIFqU9k+GXt0CeIYIqn74aP5kzv7V88OV7rrAACEjEMV
Sdr7rxFKqZHrbpGMw5Uf23tSwt3NIERUbex0OA8mEkkseWO9ZfwUrZVWVOyueajdCVTH+coBYX22
K9ut4cR45Zk8EQdudWuq8qyUpg9rWbejv9JpYKd13evrvOj1AsZBmpLCgfpnAJmzRbEn8OeSXcZ4
rFzXeR9tTUUJlXXqOrIzf0vNjj2GSJJtqPlI0UlPizTsQ/2U3/EcDT7SCHmPaYQegFuHOJG1m4xS
gKRL+Le1AenbWAcy1c27JitwUBTlUN40A+8iLKfNhNVzoQ3Bs1kYx2AICElhxbuI3XhvduW2s9Wp
b5WxsBvtqg26Rys270u3vqvi6eRn3aOy0mzhKDyBcShPJWGVCBFPQUDH7/vxHngo+cuDOqJ0x+vI
swozJexZuh6dke+Uj4fK0l+KKBqXkNaB5BOEXIUq2jGmx+CgvwWKQiAoTHspcT3TjBvvQZLTbGB+
GnOqnsYNEV9IYuiaYbC2melNx3Isjp2nbQdE741G8g2ZDdUqNHHvTgWRQ+E5JcN87ZlzVYqgaZqq
PW6L28AqGQNnFuIkLWY/QYCQXxv7rB6qdRWkd3nVHAOY/uiedPV57GLG2ZVPqqVQmwHnwmIwwrWE
ZcHeIFulnbcfivJMd83WIGKmHBPvjk4OGYQfWXeWHImGGHAo1BnY0sxzxSr1JNzYsTmXqpsDVKp9
B2Fkmyf6u1TtFyO10NEmKj2aLpB0tt1WeFNkDrzHQYZMkJD0sETUDm4cGdva0T/HWrCfFBARw35o
Am2bBPhjYOmzXHGWrWmcIAPfdBkYVpgUUeWtaduWqepjIvbE1ukbsSpNPngrI7RI756MGWNbWD5K
BPcTZKgz8gTETtVwsBL9euKHdkZ2TtGeTRJxSqG9itp4RzSzh/pxMj0kaPYjsdO5Mx3slBwfC7lb
ZVsP5WSQMkciAMsIYinZ9afxyRLjte+RD8tIjfSK2H0Bp4uZHDFQ1RsnV2YoGuSlxB2cEgIYTBhh
ranc2IF27wz1g8QVMvjxsLIC/1p2yHSoBueJWXhs8njPEDFZTJ3xWGjBveOkD4iuF1PWb+ZVl7CH
Q+lqhwEfNZMNdSgjd5uQ9MfSv16ZudHuZSubW9lHB36/oxXpnxjWo/EzkxBzSUVMpFngsZZDvBu0
VLyAy7SfayeH+z+Mo/eQNl58O4D4ZOuZGGtZMbzSwoa0Gi1m4zLb64NmxDYkUHf33BanroBC2cpZ
BZdUHQMG1EDzHYaXIUf4NG90Ss95m7CpEVChHjWmQOuuVmwjC4jdCVa5Rro1FzNm6G4k7RG+pA+2
xLptdLSRZkkd6nd4O6gzjl0OxaWI+wXmbGIUihoqsiuflbqL+MuvylYjnGIOy3VYTJ49dMzrYaK3
w8bxJn0U66ocA245l7+RdU8Ee8znOMYIH/0TienTYoy9m7jJ33AyLSMP5UpEX0dGyR0c5RfTLD7V
bQz4K9p1UfNhV/2FiWtELBM2DLDQL/AONoGyP7HxpX2tBf3jHD/WM81r6sxZRPZ4qj2L2MlwGSWE
oJfiCyF9w7ZA1xVl3UtneltLNrhmiEcjdWRTVPyZ4x6Mn/1kZPUjkiwkeDmaoSG6G5LxlLn9rimR
emt99OSjKAp7btFhOHdeumVAxH4sUbdNM10gw7zQv1/lkVw6siMIrYL2nh9Ce+o2naRpHnQCgaW7
zlT8Cb1cDTJIbWVEjOpAxipG+XDv14hJAzPD+W+pOxxofIKJAUAgs+9RzBwaEzMZzNIXngQsXHNs
Q0Ds2ec0uzzy0dmVaB31amfRFnHcrFjSnc2M3z4N7BPGvR3tyIH8rRe36FbelC8L4hMYuezggQJb
9aAmCdKaHW1l9eGuTUh/K1vvVW/iA5/1Kpww97vCPch2vKnJV15GsmZuqe0qS33ydDizLOhxUN55
9HZUtBP8Q/gBKVlSuhw+PL23GClln3RS2RYCYa5rJdvSK+/TrJnAAOS7zu/KneOm48kwsIYKcSKq
9pMCRaFX7PWIdmsQ+ukG/m3ZXxOdyeCqwhgRO9UzuaGMM3Tnos+pn31WlsfasH1SaJgvWkp9DhPE
u6Xua899obhegO+s8VV6C1OGyRdiqeyVMNMAgSBzd8yg3sfvi5B/KYbdObpIKKoQ/O7QSn4uho3Y
MtIUIddVRNcbP8bum7S2/38v8UuvPnIVqxgsz5VejoD7Lm1xIRr496/xs1tlrqS+JjDNEQoG9hHz
l19DiBZJrhv6F73nKW9fpuY0DPeatvr9y/xLI8jLsFfCsGOCJ2Pu//On5efRaNpx519auLgljW1N
OqFWPrTyuu+MharZW1qHr6/5dyshuBD+fStxzv+Mejl/zx/9g/1PB12RYGMnYXzMQMzv/QOthSLD
S5fs8ZT+1dz0vX+AH0fLB7WHFeH/Lg6/9w8z/ZvOlrsBlRLf9pdWgPCBuBh+pF4yFnakYv+II8AG
JPLLNVlPPOhbq1VXvplNJzTBegHjwQlKSaQE3OJpMXktY0MNomNCOe/Z+XnUkXSv2zBihtVYenJ2
2lAnn0f4vIa/rLERybWntRJqGVIIkaFT7S2YZz3pPP5T3+IkXk26T3Q82EvNLfY1Ct2CBE1LDTdt
ZOOuDDS0fDay92VLmqXQW0amWKebzHY4cBEdlR2DTpy/aLN9rd54rX4fZeJcZYrdWsoKZtRvs3F2
BlPyLXJ0/UWeHrPSOxn98Ij6ndmqTeFaFCnl1z5JfVIwfSqf/8veeTTHjbTZ+r/MHh1wCRNxZxaF
8jRVNBLNBkFRFLxP2F9/H1DdaqrEj7o9M4u7+JaKbjIJIIHMfN9znsOuOvISm81pOtg9OngYAq0/
UbwdprvMdo+aSgRCCjVFaRuizIGULDjHk0iZOXtEH1/1QQ7LqO3u5SBwTQbpWRapLCXFeCThcsQ8
0FG3bcGg+TTzPcOehiUK4BQiTw7IWkBHh5a6onGDHLzVYB443VdUymeYXzFXsvsBwal9HeB70fBr
1rQ0CbYgUTzTUvIZ9NKLQOrQ3cxgnPXn7A1ar4s6lA6FccORal3Zrb72E1IKFAgMPoTynRkC9hvM
4jLWi2sMVEQZkBhJdSwkenjRORXbZWDWbfoFGTWUmLBDIomOIU1g/5qK15XB3vQ5LJUOZlB/YpWS
Q7zA85CsndEGA2DIi4wsmHWSzk0FmmwcfO6QhBJPSA7KxkA4vlSs4DjY1NdNV3paJfcdYWqLSq3v
ggJMypSIs3HUbmQwrMCHdzTHNIIz4mtOWOfkMy4TO2oXljUhiRIsqKWp+Kzcfuipg3tURWGz7TNe
ilRrtloJq1jkBSqtXG5CjkW5kXyy2QsSLrlAS3RQwrIE84ZDy0xdzoxpDP4A0Y+N24X2casaD2qJ
Rs6OBdi59GZIBGfcefXwQ1grDj2JsYmx8at6eEbDBLSSO+HQ6/u73NbnNVreDX7/WTObW7PhQIIj
cIMP4RA3AoGHszCFxK/MVgn0Qo8ACslwlRCr4WAHNmR748fYEAowp/SSA7ZAZrCtZHXdWtND4gSP
0NKJFomQoBAUUoE9MjXPVNtPXaRaBG7RBS6skB15sVdt9ymfHM60QaV7eqHdUEdfR7V5WzbqRjGK
Y0/uFNFUxg3LjbN0QhXpOTnUQWheRHaJLDZBchSld2Cq8g2spyfiU4ctVKht29UmtUfH9XKFuE0D
MOBayvwBnwMCnrkznQ6Tc+ZidwAXiNlHneoZs7/Oeqzavp6aK6os1sJS+nXajAdNM19qUqQXRU1O
l22T9emH+zoz0pWlDS9J5F7HJsIiy2B7oqXklTbT+K3vMtyOHX03Qj5MT3dsB46OpLFoU2z3kdlQ
P2fqoJXAQaKAriij0avGQnjIqbZJMDxZocxX0spzFEXuRSuqC1IDXxI5GMtiwB9Zz85/AQKAut23
GiRAUETbcSoe8ldWANAAe6YHlGAE1Jkn4MCrXeqtdW0OurkLsFcu4PHTL9XjC46ne9jymxFAAdqN
K86bZ1ka70JZ3fghkv+ZaACP45zo3gM1l9tyZh4Y41ihsYeD4PJd5NsIGwHPIwJ2aAkx2IR85ifY
M0khbfyFmNkKPc1YL+r6z+7MXWgLHJrdzGKAMPUwzHQGvBIEC8BrwK9YeO6g05YG5qD3L/3MdoDO
Fq3y0SRnOHsYMPVsNLe9STkO0xYuPr+SiYxG+ayb4iUEdMlRBvkTSXs7tSmeXd18nGr1W6cxGcrc
ui1rHhiVbGMpUtnwiciJTMrsYwelBT6Rhtsf71SadpdCSVBtsuNsw8MECWotzLmo3yn6YoJcYqP2
XYaOuiPpIYKp4Qw7s6coVfr3oU0nsE6jl4xMt4VvEsdKulS+bZLuEycI3Ev2QFjq9yyJf++SXrXb
OtuGj3ZJX4vnX5VS8w/92Ca5f1Bn1KmImmBHiQn/e5s0R57C2MVIRyEcdBA7qD+3STgmXWqpro1p
Uswtvh9V1lcvJXx/cIguxhAVWOI/qbLOZdSfNkkmmDVyWjRCL1CJv2qc3hT7q6IyJW9YeKwApWKG
fLVzC/ugYfOrZyjK7PUGeD8bv9sSOy6Sm9kRPtIqqtfU8zR507+6xlEYbvFGG/4TBctYXfV9niqE
EZrQ+rUwHrVVQAuHGkySR3BxKzMkO0sjv4puyiSmNPLSxvVnd3JuG1CMRov3F3y064z4NFt7op8Z
UeaxAYigzYyFwoca8c62CmoWsXxWA1pVn9aHAMYJHmMDs8UqcOCcLBLHgmIjW+VFRK78fr769wFh
rrl/MPVfcub+u2z8+Qf/mv6wPR3wmI7Dhh+rwWw/+OuUoJsz0gvxs9BIi0D29/f0V4n30zlNut/f
i7nr8dcpgQME3S9VpWCv/zOzsMVveTP56Z6ps0mYcwjWCdd2T3vnNuU1B1yBctCUlKkWQWgypxe/
R/KViNRiCqlr5D3repz9MGpU1tduneHYsjvFQPRc5DZwaZeatgvfbtk2Wn0H6scen4XiSNwFVE/0
GZQXVzM8T8dIEDTUIZBNmxv8EvVimCF7VBkGTLiKu64h8FGiV5+DCihfpQ/luphBfcixQTzP8D6C
7oeVMQP9QNDXj+Ur5G/G/U1hJ/Z9bu/juDYWPXAFEWZ0oaEEtnr7JRswOXUzQDCdUYK4DdF4jRd0
R10wJ2IVumZ36cwAwqymHMunx9gAegaCPYMKazLWODoFLMRusnIgPyz0GWw4obRhN9wc4yYnLXSU
6QMJe+ONprFfwgoLofsyqoIQtbN7FU9ox0GpcsiKCZ3roSCDLmsiJP0OTW5TpnLhdEAY7RnHKO0+
2ueviMYZ1sgWRF01rwRHTgn9wpmxjlQp53IuqEeI3yS8omqOZWF4MjLJ2gMMmXTFcDU5wCJJyk2u
BviRxQySdGekJFVGfiiZpmhNoQK0qWfkKYBWSp3beiZSouAGTomnxVnCmwJZGYfEfqD0L/0bwbCb
Lo5LdcXEznd53XWbrAEm6VuKcwEEH2kK8OOLxOKH8wuNotkV2H48hVT3wtx6CmrkLn1DQ0cz3YeE
UIKVL8tvqptlHkbx83TeazvxeEgRFJHnmn0LEa+jM5AHKt2E2RE44Zm1kxCeywkHz82u7ip7r4tS
87qY9ISYg4WeZRuTjtPGrYElDaJl8z32Ogrutuz5A6Te0oWpu143LzpRKnsKLCBEoVIchWiAENUI
EFTK08Lw9IYUpJKi9HldubSkmGiAoXtrXVeiOrPMolgqRQGiDPUDSql2Q8rWY9qhJFUHzSOEr9n3
OG8XaRdobGp85xI47lrJ3K+60pxbcXZVtLgJAXw3pY1QRlfKy1GJxp1u0XrDfb1VBOWlTIr0Vo19
f+U4L5Kye5SiKDLt8zEEMY3XflMNI/zzac01E5Wcn4sse5w65Uxo0XkWgvGJWuFf5A67wQweOi5d
4urHIdhVYbpDu75NKh4SOdH7so9Q1cS2vwDv9RS0PW+gFR2GruhAeNK8VmSXeY5beZqV7lwpVk4N
nJ+UxR65HVbvb5bNJk1m63qy19gNPbVrCjSF6nVJ7G5Yxjub5C+3H7xewwhO0YGs7CH95KTqQTfb
TwRvsP4lbmEBFiQz13emb2WlXePK2dmkQhs0E6lnG2Rs0X9QEg/n1FNoGRvMKitCK0ui85xjk+TX
TqF/dTk9LbLUeJHueG3iSV2CQL8Y6QIqCanRPGMUUfBokZEh/fK6SSVqw8+eAXLc9vN81JJ4V7fh
ES7/IcO8C5h35w/F1s4Kjw9p4qVCvcry4XKsRk9HJJj77VLh/EUa0GZqk62NCicr463VDGtFzOI6
PXq2iN5IcRApIGKT0Ca+ojjkpYpnRi02hK4hZWqDoy4hlnbBduCclhXKeUcC85hGGOsg0CcDZ5rs
G5VDz+c8SsHK82XKeeql8NvrQWK4cdQtPbsFFtd7AdetmUgCMxlD1jQW9QPyqptGWmsTa4cIBg4v
7py4qC/dFGJp0aubzKw913eZgb4CDEVdU5T+NiJk4Au3BnuIJ9RZWg6eeKwuO0ODZzPV96om95Nw
biyrvHdC0ju78arNvuZj+VKpKjLhgd6qQaSAVa4bf1wmgbkK1dELjPAK9sNF0RnXug/OUaEMVdM1
xeRVqupWcbut0+CjDdObWBTnkjzSmr/U9vGOWKKkTEWImNqueRUvG9dZa0azN3y6rEO1ohEzkP7a
LDljYtoy9ee+Le75VXAeiSAaG5MCAf1KTC69R9zdU5M3Xu4oZ6ksdpNicy63w0VXJ+tQYZGgtVR5
sB0pJ1k2rIbuLmvzRwnneSR+FEQnhBt4y4Wst7nDAWnIaLIJLPZxd9/X6l1Rx9e438CWDevIb7l3
lNdyubWlYHbaGwRJV3mRnpUIGcl8uUkje+sM/gG/1S43s33nawAJECHlbbTO0vFY+jMBrF+UvcMR
0z03tOGhpA411qiV2Kt/8mvCMuvmkDfiGmqxunC05qYVYtmVnC1rzC+5SM9TERCCVqnE1wcX9fyh
mor7MZFneg2tvwx5s3tg973X9POmJ4dLln+qy3Gv6cWZopvhQfFV/wvEpvSmgWDjTbrc18i7Jsoe
HVRvRYm/ctb7FMsMdBhqTKzp8oGy6kKfHVcF9OpI+2plUDVkdZ/U4Y7+xoHvLaSgOtlofXOGpZ/3
MrUTb1K1h1A05do1ktuslqQBDskmMbRjnGBZTOCY5KQMr6kRbP3E8npdyVYRLZ8Oo4Id9IGnjfoy
SRF/hvlxCKxN7A/7gbpfqSBsb+InSQGvZP3jDWiAOnb2qm3p3YZK7sFSpLlNhE7KIjG4+bZTnK8d
UBJ6U5ugs9fQMFZ5UfL9acDaBcO0HrL8bJTBWS3FLbDQ2dtfejmbexkBRAl7ZZ/rJnMdUBvt51or
QFjIi0npH5q6fEatik63calx0Hsz4UFkKsvfmy3tOxqRk/bM6w7R0HTcrERVuu6p3kr2dY1+IVcO
aga5kppUcq3Qevx4kLlr8fcZ7Ps2FHWZpqkEzlJSn5srb85gQFdVC+6tchicLzX0x/ZhKGAWox74
neTlvQ3v25FO+ieFX4za5DOS7lyGJiY+m/zmaVdYn+P2MSos7+MLe/fu8TZhj0GVBvD05wvTgVk6
floEx055lO1ZFTznKafpH2eOdx7Qe1fEbpnN8py9hfv45yF8KhqqO5bhsTNBtm9abHFpiIo52ETk
Qury8uPh3rkioDAcWpAeQY07bdfNAFR9VGV0jHJkmQanzFmf85tr4th/Oh9+GmT+72/mQ+MrUlg+
g8R1vZD1OUFPy//ZZcyX+WYEQqoldldGAPhqIcNOilsfeOzHg5w06+Z356fLOHk0ZTImZZc10XFQ
jAUlYzc6wsfhA/cg0LM3Bx1qxMcjvvd0AA/T6xEWddxTZWESwaLJYy062tUVPV2vTHf2P2zYvl4V
AEDLpEml60jUfr51vjAAmXR1fCRne5VZKMQKD4zRxxfy3q0zkEgKkyBTW3dPBin60LajiC5tXT7k
1nnISRFb5ML1b+L2zASg1vtXH484z6mTbxCfuL9HPHlYCLYxeGgjgOUB6W9zR17Ubz4G2s9Ph2Yg
rj4bbKKOOxDF3akWvinoxISDlh3j83ondyyeF6QqrMRVeC28fBWtHU9Zf3xVPw/5+mX96apOvneg
s7MB4Fx87CwU3QGkfly3erH9eJT37x1tfJWVU1ji5GlZk2bZEtn60a9cT4el68jf3Lv57p8+HcDn
zDYa7bZ9OrFLEjPBiyvxEQXMYnR0dpuPEcAuFDa/uZb37tjbkYyfpzcn4qIGrhYfNarazpXwb6rp
N5+394cgnlRzcYjCzPx5iEhLOsecguSY5wdB8W9AvUe34DeL6nuvEJPtxygnjz6pO4RTCBCPUfKc
KjhXlFVNKZ2GYSKPSrJJxW+e0S+XBaiTuDLzVf2qAS36+bLI1rXLzC7So+w2Vf3YW6tquv6HE+1k
CGppbz/beRdwQ0PgdhT1F5oSLMdY/Oa2/TKXX4eYYfkqGx7qbD8PEQ8DokJOWscmfVamndVHvxng
l6nMAIR4C94TCm+0+38egE+njRN/yo7s87IW4n28i1Br5e7L6736d1V2/rz82CEtn+TTnz7tSzL/
/vM/HmAs/dqPmH/mR0EWVAy6bqAvCKyR0/CG/yjI6n+YtAH4VHMMZ3+j/yjIQpFx9fmBIf02NBZ2
Xqe/C7IsUqqFlNpFuyFIR/oHDQmiUZkAf3/rEH6zl7NMAyQkKx84Sf6It5Nc4lzKcUgPh1JyzAZP
RShefSt1Mj3iOYBs0vLiNuq09KDLLLtp5qAyRdXabcvOloYCZwuw3qgoTOPSsE11JdMMYpgdvxhI
Fj3JBuIsJBHNbXtCzOaQtGSOS8NCRZhBRkCgC6eetnWHLQZOhyRnrSO/8pAFFetuTwibFtAKbunn
rAIOnssGf0yGbmybpkD9YlKAQJHsDHLdgoqAt2GOerPm0Ld0jn8zyYFTVKvfuiTD5XNEXDWHxYU6
sXFyDpCjlzyACElx3WmOvx5U6W5BqYlD0OtUnzI32/alDY03MHCF53P2WmDfFwR5zqY24Extdt5W
4yZxlYdeaLiGi5Y0UxF7Iiz3amuuEjugahl0+6RWUHg6n7mbFwU6EgypBXVeq80WeRI+is58oiM8
UPwo7ggtupvBVZzkA3qLQXQjTc6ARqpYCyPXyFUMyO+bkOopVvZiBNRPh9zaWzVmOyKbIJER37CW
igjWod8jbxcTnfIUlbpV3hSKf2mm4xdnwrGNRpUrMb76Y3MEWdidQw6m5yvBAVe9cwl8i9KsP12K
gkcqy2FZjf0xyYwvulHfTX3yrPhlvSjCcJ+kw8GiboVlkYqWNtcxlV7fCfaPuLMHELiBe0CNLT09
MylJWefFkDmrwjboIWvhQxlMV6Zpwoik2KEMEzujV5+kXwye5VSJczCoZRtfEH+LcWdLEiywi58p
r+FcNaC8JaLzZhHa4kUh2gYQhslne1y/puL6biwu1C7dd3Pylz1ngGEAP6cXiFFu5uT5qobPWYAw
HwVF9wp4UaNM+nUtBKU5p86JO0qeK700SSyKRtgtI3qJ2MX8iLPeSiZuctT4O2VsKjxhlCN7XnBP
ZaYaQXmd5jl2rsjcDQ4Fo9lkcJuHPmwg08Q9Rl5CLeKesCMrW+p+T1qgSvV+9F/GUd9GxGnuEiFu
a+mTe5sTuZ0YHjCGS6ru6Q6trwWCh9a6nVo7yn/mwZYo3Qenlvj5I6TytXnTJZiTfSnOUWCUFLFH
1yMtaF+nbbTXRoLGzJRsjCLiKUnXS437RvMPSh8Aaadzb/bRRlY1lQI3qzcYPGlW4sJ2qvRLmIq1
U5S86rwmZWnjiKYAXIbNHtVTuUsUdC5ppGkHLNLG0sftdI2MJNjnJhVNTqyXXYVOInatlT66AE9w
ti6MDpeDDyh11CgrjVWZ7KtxchatrvtbtZJoOdjgbsbAd5eqUjW7ssrPglClmBm0xh6i6IR6XFM2
ZlHhBKnKK0uBNz8l415Rg/tSyYyjHhMiydcPnmhkul6YlHuF2lIwBP7KisuHimrrtybP5syR1ryy
4/hloqkCG9I1ZP19nf73+mmw4Pzr9XOO/V7XT/lz1Dy/s5DOP/xjIdVBF+MbMlmyoENq7EB/LKTG
HxoNyj/58a/Gor/0jzYLKZ19mvc/fuqvhRSkCl19MVva/7n+8eeN3OsyCp3FYps1/1JTnZfZN0d8
rBiqE/v1hBT3rnL8xRzS+ebGHL8vyW+dkT8v1PPhyuR3sH+ndaszxPwXvBmBfE2rHEpDOzQcGcEQ
CzwPjaDm95sjyc9X8us488b7zTjUhUvec6EdxCwYqM97++vHF0Lb+O2W49cRTs4KgVbl+hxNeNAH
G4LVJ9v9Rr4JPKSD23Yr1Kxe0z2U7DCio0RXqUUvJJIHdCSKK5nfBD1mA/pfIlg5FNMDE53nTZ+F
VEH/BJP/S2umNm9+/t4c/fqXnuyejUjxqUnO9wLvEpT2qrxroQOA3z/09PF8Hyrz+M1GKgR7DVfW
n1ikf/kHvEZdnv4BlPKEpfL4wbydnA/wA2uyU+3xgCeOfrnm1lA8kWtLwhDNis94TMDvLnbQiwI/
Fm1/raU0zXqwlF6nKpNXC6CAetmqHclE6r4nbLbepNm9nhn73lcJdNaVWPs0GBk+uMRFLOjTSs/j
eFVb9a5sSYXtqjW9smUnRxDYh86KVrDvF0WFBcRC/4QgMtOPmOFQzt43fko35rYJnAtiuGhkW8sO
So9O/oYhYFJPKQHyJYCQW4SR1dKirT9VgLFGzWu1FrFVturL7VjdNzBpRwpZVZ+fadK8iuOLeMg2
XQ6WOxMoMo3JINzuVprWEgcH9ZohWIgoMJfk7RFF5GQk5yTpgyRqKMsmGDXCB0wSmOcfT+ZfCeh8
d968+ObJ69JHbhPTkp8O6sbY+rvpXN4ZG2dXHyChn8tt5dUr9IjeuDa8fb3P1sVyeFB2UAw36gZA
4zq++PgPml+e0xnz9jNxUlEwgQ7Z2TxlcVvhTsn7JVsitG/qbz5H89T/aJyTD54TZVMahoyjkLp2
O3yt5javRxSn5f/mpK/Nk/x0qLcvwck53OV/rg1Mh4fQ8OIj3rJ28GriCZsV+ZvBgd3tx7fwvS8g
onk4Sg5SMjwW/D1vvoCZlQ22Dc/g0GMwz6cvnXL8eID3PoBvBzi5dySa2xQXdP0AsaOF7N4rXjP8
rs3xu0FOvrLu4FrkfjGI251N1V5at7r1+PF1vLckvb2Ok8/jyFpdI6vQD9QfvCHticK4hgI20xRf
B/rf3h1dRM910RTf5P+Zf/NzUY41aEL5Xz//s/n+b3gE83H+p3/QfY4k/eCXerx+adqUH/3+rZ7/
z//X//hngeCWjvJ//sfTV2rgy6iRdfQsWV5OIW/z4vivt0e4QuQLJKb3f+7HzohQB/YwsGgJZkHh
x3z+sTNC2GjP1SXLAhT7SqP9a2dkQbclNonyJjVb/oq/tkXiDwAqLrVpjD/sZv6Z6Mue6xtvXl42
Ri7lCgSPjmFQq0NJefIylalJF8yxLjMDG16p+uayUO0H2yFzwW7vCJL6lExX/gyar7SVXjnEAASf
/HRKPLQxBgzuBE7jeGGdx4HybPTJp0yhZa4ZdbwZ6/yLJdFqjX2wK7N4qwY5wui2QEZWkzcMHNHT
Ve1RIRXhiyYxBXPa7VfIun3SCmNCyWprC1R8n/c0sWIjvMvo7HMyepjo/qelU0OhrZ7GOLlyQ+Op
trT7oQP4jwLkghSpwhvDpFiWVXzWYj1fiKzo7kbVeYxwrJ/l5BqvtJ7gYbWMPyVt+qiO9rQzMyQc
RMmgwpq2U6U/dk126eakG1v2jVtvOEeuKrysC46Dn9owenAiZdurxV1TK8He1sul25helneXWgww
KR0vhzG6NFtwmGM9Z1SGX4tSHnDLEGBn9Zdu1BuLItJ3ZrFGF7cguh6e2s2MIUEhI5OHSscnzZ+4
mWMZFlLrlqmJrkEKgNNJrNO7N/1FIZpm21lu7vm9QZ9aObeyot8W0u6gkbSrvohR2FjnxLVN5BSE
+DjSlDpK+rWms7yUelMuwlrd1NYUeqJrj6PjbtUYfYgKinUT5mhkImRkac54KdIOQQKIa9dfgFFG
8JdoyjjTsqAnDoWTEISWSElJiad0L7PSXFoxeTnk7Z33QQgyyl6CdycR1ERxk6qC9LEQQXuAiobY
BYxraYINPbWbxosimXkYD5hskYs8KyM9TtpPKLPAnEdy3TYIXFTMv+gKr3rbajxbo5tWGeQyx5Vn
VvF1ruERCnlySml8EkTnVFlar9jHO+eVou1Sp7go4+Gxy4bPYdN8KSsHCHA/+svJsrAHxG2MpR0j
RhJLzJuyWHaUfkiJmJPlSOONwuzKb0zDS7phi/y3WGO2JNBitPpFwq5Kj2LQ5c43nsdZUZYHExd0
YqkboaVIf9AQAe1BsJMaWIjzR1iHZ1LrL4pJJ/1H5nu/kecqkel6BsktxT/qdM6XuAl2bhiQ9KkT
9uA0t30T3ZSt8ome9U7Ni30LiaawrF1CWrOi5o95k2KnpGCHX/XcNOozoy0u2i6RFDqgB2fdZvDJ
/yATIp/6bekWcAroDowmauJwH5jonurROCvhXvWNelRDM123U43HQt73Nh6NxpywkchD2ZLnME72
HhjztYjKsyTqtmaCZRvAFxvhDvyWWl8EpY2iqUPtONoL9JM3TdHcYQE484f4og3NZRiM17magoLj
pU/SEMxxdAeWYiOCgjiWyNmR+7ixun5ONpY4eAHV4q+7MhFgobu9ypQOUoFawYLGjeyq98BtU89R
03Tp6u11Hwpcs9AGYbvB5J6ye5TVW7vFm0BJVae05bWoFDFxP06Ou+mVfiVdbClR95DX0AmE+m1q
gpbkVbxWjX8fqfT5FvZElsS1zgrmpQ6wAKougm/fYBh7wkWhEFrpmRu05yYsiUG2cqEQuBKG4cHs
0jM/GLGVF8FFT7zGKnLzL10kgfnU6aWiupuqcC9riGye0w/rrFK1FUfAzxF78gEso5Eol5of30zz
IzQc8aUka7toAg5r/ZkWKHeD2h0M+NoquzMM4gSMjv2TrmD7isoAhVuF40jyLGpNrPM2iDaVQ4nI
MC5GF7ufjOptUsSbJC97qMzaZ+rl+6rpFmAtlqJRrroIKrJu3toBMOJo+oK3/GaC93yei6rcqYF/
XWb5hZKr/sKv0pU5iUettDa27i9MoxfbWAIi7AGBb2fAta4HLwmOGKTvhXo24lnXNCxCmlaKNUEy
G7sSpHCnYenplNAWVqBum4yzTR/dVFgbxza49etmmytY+Ya5rExtjGu+Ja3+TlZhtxvMYzLzBNTO
02OLvJlswPVeHHoZ3EbqBKHa6rYKXCw5cVJorKsp1bZ14HJr2E9XdQ6XYbzqWv0mSQuHiASidJy6
ByCg9VelYV00Kev9Km0UPV21fRV9Flkk+fhb9pmeczDNnLRbhxVVwQoFbeR0vJ14MpFKL6yaSxrH
cotBZmMHuXuEZemg8uzy1aREIOw6rPBB1wGXbrMvHckT8LrjNSsMQlq6FctSTwnYCDxRyK0fEqM5
zAkxRed2+zgdOCQr47e8hunNW7xIRmhkRlzjFo4GZyXS9K4DwYJD0Zph0E6+1kKQ5GSWWACxsuAc
XWZ5yCtN3seaTV6DmGpl3Tq9uGr6HCq9MyGQ7lOTYOYOONOq7KeUJoVyjgZ7T9n/qDvJ2hzila1P
n7PKvw6q+qytMC7bRu7pKeHnZL3c+z0VekRYq1prQEklA7EuPtFqUn7pYlLcEufB9I2LrkcQXEZL
wI9r6YNTNppb1IDj0rHDJ76sn1Wj3qJgP6hiePFj44xQUwEPFb1YhMupUYz7chJndpRdgK81cARl
YCYQopWo6FqWaKwWiBhr/xBj7EzJSKGqHS3gdOzKwDoXQ7TVahCbSbnLXJhbhZosIxtItRUbV26f
3UiCn6BGgPDL89scbhpWzOSMEu9OVZULF6ceW6GNPlQ76bsbJQl3gV2dkZh8R1OIkAxtXxustIYD
I7R8xgi4ipPgavDZKYyIGic/XNW4/0QlXzKSjZQcgjyTboAB27rps2Wo4ILcfFeo0XVNfpalA902
8fMaGfGvg3rTzHhsSZqHB/B2MdoBYSr92u+CpevHpPi5DRn02jZr9Xv61F4aa8MaGjxmVkpCPvMR
LmrF1z25p93jwd3g4FeDIk/oPLVBCoow/kxI3sZwpqPaQc9NpHY79traiMu7At8zml16IkoXffXr
ovMGCP4rGRqXvVAv/cB4pONjreiJrkwySGIintxIdSk3QQ5OppdyFJeyhFLA910SCsZkCYpe4KTF
0RuOpbbyR8s5FFpBPZt+QIr1JZTqVWoq5wDN54RbY900qNl9EWqLukHZFo7Wg+iRjLt8aRAADpj3
HXS7tH2g3F+VivUAF8lfl1F1r6LF5FjVrpOmIyGt4aodX9u686enQl3cFW64DWoaO6JMLkoE3kmg
kN5ErlGpBdVSR/m7rOoMZ9wAknwk+cvkX2MyLrWuugmiodyQP7jDIwlHRbbQXudVW5j3g8aLFqtw
TSjxoG0czUstiS6TPvHM2Ax3djg15yXCThKTjDtClIJ9X/tXbpM+INY3t/PrDuoWGU3Oao5AwHhw
Qgkr3rzCNx2du0YOqb/cBaV6qxMOPBVCRS1MTpdaLFVQNFWgEopi1otAZN+IK4NrYYBjMpxbCCb7
CEdjgv25S3siC3V5P2rVtTuQ35OX9mWsBZeZHa9T2xzP8iH+XKXugzkY14jnijNhxPmqDaxirUvz
YcrcnTtDeGI1wnPa8YuVSlsXWiSXZW52W9KucHa8spwCc+Y6DVqsc4yowUqtgBWbwJ8Sw1JW+nco
1JsT3/F7neNt3ffkHD+zHizXAoXHGo8/5xTCoEeqOuh6Hh3ikr59ftFMw8I1bz4e5OQk/+cgEJYB
xKH2tU+qRokP31ppmoiwsJ2SX6ikdyrmrexvPx7mpLLyfRgq2IIi/mzwPSl8+DTKOQWobNz1b33x
STF+ox995/dj7iN4xZyFIeL0XjXuaBWFlaWHvGeibR3/6R///TQgdO4QN2q2Rf18mKURjSFdVNnB
4dwhjsL9TTXxpKj2y/05OSyDLdbAFXB/SHZWMi/R1rVNQXMxvKTx8uNLeWeomZY6q0MEOgP35FGk
Dv5okGbJQY23iHmluigxjpseyzAl04/HOqlJzpf102OZp/ibgpqqRVlnW2l6KA0PvzFoX16tmfzS
rT8e6L2Levv8Ty4qt2MXDez3gaAAUHkewjXryLwUl7+Za++8l3jYEBHPqFlD12dF1JuLMgSlaBbe
/NAYaz996oaV8J8/vpz3pvObIU6n29QI9kpCzQ+58xT7D6by35jOLtopnK+o3cRr7ebNJcRVKqRJ
nuMh5guIYT0dY+/jK3jnJuEbVC2D6s8MkaEC9vYm5UrO/t7SisNkP/X2ZTsTLuRvvl3vPXQmMd5d
05glsKfl4TAr89GZsgP2CIxaM2FCXBEfUoAGMX4zk98ZC7mMjhKVsj9a0ZPvZOhDcURIkB/C+Uy9
Aq0bwsKuYAhs9OvXW/e/XfPcvBSzFKn5ucb5/3XJk7fyX5c8L59KZvEvZVJ+5ke5Uyf4VpvBREh1
TVTBb8qdOjEZFiInVIGzYJx38q9yp/MHjnCyF6mSUoa05pTxvyqezh8kSsyJuIaY1Vj/TFGFFIs5
/Xe7Ym4FU1PlK4TJEraO+kpTf/NW1VWTmQKA7qEsG6wibDEWtUtQdinGT1pcbfzQeTZ7YF5+2X5R
W/8xsuhdqYN51gg/hcyhfHK7aqmK8UJMGDgEdjbdx62pBtHBitL16Dvk7Qaax/FcR6SjbpLBvegN
cV5kxcYJ3G0b6xwocpOW5P9l78ya4zaSNfqLoMBewGuj92ZzJ0XyBUGJJPYdKCy//p6iR7al8Tiu
3/0wEROeIWVJ7KqszJPno4/aRsAuvTveuU41EJeFHdAtCdr2IdGlHZ2FC82hEQm08hpnM5vIFRqN
/SuS63RnFEFteo+itq4p/K8cn6WZoS0lSz4yf8zceRdOGT5qx7/J04jpbBaUeOTXs8PWaZRXOrvr
9vtYRel5WYb6tez5dWZH7hatVVk7UaC5lP9apm+JM6flk48xzZBEhxKK6uOgR9nGrMcS9AO8JIub
IIE38eFOCMpb9wpEqWW3Gz7ZlApj+6RwFaET2oBSsVWWDcWzNF28bhXhQhTFydJzmBfgl1BRMF6r
10GY0VFUhIw/uneNYmZmRc/QOeZ34UPUeKA1pWJsqoW4U0dxN7TnLl1AHEsROR1oDmPP+1SxOolm
7W3gHaoUIgRZRPIU19MpwsdUrI8G9FMp+qdRHBC9UPbIJufAG25a21F9awANsQcrglhxRNECUVQp
tojupU6gJ7xRDXiU8BzYLIpFakK8IQ54UmvwQJONAXin2CVfUUwLOFOsuCawvXit9Ya+laPuZxz3
ZsHCbFge3EFzCFfSx2DUvOxQe856EjYjZAJpiNAU6a6vnLzZt11UhXfe6GlHw43fIq0iyxlJ5HGp
4yQgH/zQNtE97VoMML25t7W6Dzj/N108OBuJodOTZXUqvfbcdcVHNRHjaC/jSZ/kU93RHkK48ziY
Tco727cCGdZPEqXmRnTLxVBOF0Wh20HrpTdL70mSlsiYHp0zwhk+EtpjPxoEOBEUkpq8XNwICqqL
dqQhbZ0E9RAbycSGZd0OK9RF7rIhrvv9C1jFFdmuD/5EF7xwwkNkNlh4ZtrCqdEkmzatum0Sl3j0
s3McaYy5onij+/65zP19zwUdjEJ7S8LkAYYB8EuL4lVq6m9WUj/KzFvjkEWowM7+q2ydjWZoz9Km
rTH2TMgnZCUGWcc3bma/AM6fOkO8iaU78fS+XAzMLySIkUfqXE1VZZ7LttjlOv2tWrgna2oDRP86
Pq34lghPAouT+cUU95m2sWfvVCfEq0kGmGGM/bLESJ5IAZ2Y5TeszGvIedrnWutvUxJcMOos17HD
SrZr9WtrDNdFQhS25u4XtT/fh7S69ZbdL9Q0qzz2z6hIWaTNrjBLBIPN37rJZpwUU7TLiuXFd2W/
7YsWaG9PKw2+TktxAMrmYhiXg18n31iaJrTAMNaI5/1VnaR3fe5884mjZrZLblnZiMdI68vAKEI+
xBUDRSvuN0XDWbjyl3zadaU5F79tG/174yoo4X/fuHckkLBnMPz3rau+7vdbF3kKjx4V/8E9qrDj
P4aM1hdwLOJhQJ8s3qj8Tz+8KlzVOpAyhDGPPUpNarP/3Lq2jnKFGxomGjrrM17zx7D1P49i5rT/
E5QxPiuvn25dG9sFo041AHX5V+F+/3OlaYQDerLWra6nVidxVtqKz7UZctjjPhbtgHx1pmOkj/oV
vwn9pJNjgcGEZhojGr16StixPLNHQ6aOZTUs/rj23pmG7nLMwvoNOLrYiVwmF3EuOKgiA8Np7WvM
1gpS0a+7tuivmjS1n4GN+60RQuIHRMvSmizD8jKLav/NA3ycpxyy2MAXbEYxSn3PLR56b3ae2dsn
G9Z0hnPfxYLIzJIIKDFo2dZw5urRGnRGd1ZnvlfOkD+hyiv3kUPmJHKE7lVS87DE7CUb0frjTqQj
Lc9Y1jfQjRv4zn4bJVG9lqNhyyu2R235neZ9bJ8M3rPztMXMO+zwDCNssSNf6e4/lS5N2JXtlYjJ
TxcR2VYoDnxijz+FMAupvGK89HwN3wsCvniyGUbSFYMGkfWIvpSOUHJytZLhWTIAGzObaYqNOfpc
3uH07I659TprwqlAfd1yG8Wuc5wHIhn7sVpeoYUAI0q6HydKiniVRIa/C2sZfSOoNQn0cllewy5e
3mkrP7Vk3pRRctREhWLAADsfnZb99nqMDDaNB+hsrLtkAPfzRVZNJAv0PvlcrEVjdE7GKNl2BaFY
mAALqoms+WqLJD/kvvFgkVi8J/sCVYA+ypVDTbB308698+K6OPRa7z/UeuNeTn6jrwuz8vUV5RPr
ffT5iGPP/W+aYLHWynu2yKfiKvUMApd6SSigpnXTZsybpl8zHCPoU6u6w1yH5a1reHTPie1+iRZD
rBdfpA8TOecXIrXTc0di+rOBPTEAzEW3m2EGW4ZJO/HDS0ElyvEqjdrwiRfR+FASSrIZqim50+j0
Xccy5y7gqUfekm3LbsWWNCGobDz2m25yOnKesPgEEVmee1OSR+xKnHXWUUyjdUPHnoYjfh/jva7q
ZdskAN4+U98VQYX/WYz59yw2OR3/91l8BQsbvf/3Say+6sdJTBYg3jJTRyHHVslPucQGTxm18ueY
HIEOuw2/n8SW9QWgw0VvhRsIGOPPWYDWF8tzXf7DtyVjkAfVLyfv357ESqP10/uHd5S6Bnx18rNQ
6f3yHm9czsZR6OG59Y14Yy155gfG4IcnbWr0Uyk6YuU1fR5e7DQ+ElP7DOS4BLVIv1uSvCBt5M2x
xxFKOHhj6elBr5t6M6UJNQTq0OoxaqU7g0LqXaQG+zxd0sQlsLW22ldSV5P3ftDDdmuWDilhHQVa
yYykZPK7jTGNkgKbk/kU5K0tt00Ldn7EKulTGSL4+0zoy5KatL5UBfdNbfuhEeuyclSon5OEjCTJ
+Qs9g0GacjdqFnU4ghWGIHPEIUFCYM4MryYxkCEuL57xxrCWi5hEQVbiLuwqR9MfHybCAwLHbdms
4BkSVJ0c1mZnxxe17e70WrtOJWRBHXqnXsUYuirQMKJHfVF2FXF42phtZhfdd1tr6Vo0w9XUd1da
NuFBYZi+mvlQL1U1bmI8qv6KYldD5WnN7Udm9XdJrt/xwC4ceud9ea012XK2bDyJTb2Najd+qgjY
EYjzQ3TUrPpj2beq+INiOg3MmgGOWQHi+8Pan63iTnOdcVt7zItEg70DHmyHkJFVGYROE7KiVUiC
69o0yvhKRmNIWFI6rAib2PaTVt266Kh9F6GDPuNC94dyVZu8axPtjHp7S651QlR8bT90Prl7MZOx
ds69LY/fBDynCEhKbFdLLepnJxx45BoaD0dujagLuhlA6E8fxf9PJ54PnNo45bFGT4smw88lBslE
o56Be16aelxvrXw0X8ky8oJxzug0fv5a/55/CPT+5vy7TeQ788S3vzgC1Rf+fgTaX1Svj5BxnWJP
0Ws/gDcVlCroAGHs44DE5/nHCYj+jMOSY47ODAtvP5+AlLTEefFjr7yAVLD/4AT85EP/XIpC1Lkc
wJCjRMezWfdrk9AsGdoNFgrhqmlqcaHlSFtyhjZ6R7QI09EM0N20MkiJ0ADyGIdla6CjFQzgEodO
g55fDYqvHotJOzhOaZ2HTJvXo9mVpyL0i7vZ4pYfJru+KJO++t5H/Xg0izG7sw1KP5utpDLoJ/Ee
mgmNBpu9NvLwVIYWYrSXGNbcZyCKvbMd2f3yc/KzDSKq89L5JvnMfWhWstyanQvQ68dlhWmMMBHd
Izy+dpv1ZKbmytFTwKlYZNdFMYT3JiXELdkTeXynp04WdbtcGM1yoC8QMuTmTrKmtUG8iskvCIyO
Q0hyk5EsOY9eNb+i95E3bWt4Iw2W1rRR46NiukTik24KJ2nSB40sadgCmQkRTKYLND62Ft5QR7Kc
jVfUOtiy6DcLvds1cY0cjfPR62tSy9Q9oMvWd05SXRHENnJbFOriYGuEO0Rr1H0yJ6Vl7Vg3Sg8z
BIu/rhb7djE6KaiEuJYq7qc+zeNjTcjacnZg6Q5e4yXyliwwYzuzrLdYQcwP5nguSIQptd9On39P
BGWv/98VkdoQWpFH2v/VehBf+eNIMPUvfN5wktAUVp98TosfZwLeT5dHpsm6OLNUwNY/zgQgWFSJ
pm6invoZg3W/QMdSCTsuIx7k6v/Mji5+HoEpDNZ0DJ0zQZVEJvrDn+8Oookch3aQdimcglzi6iCT
cFyVucu8WkF9mZj3msL8Ung/XYF/UiGAIyzgqKDAHDpwUZgg12cagPtWLFUAETYKJ0zgCjkrHis4
Q54j55lPA7eud1ErFNGGSQxhE2lj7goFK0Z9fsuHuIHqsL5zxQYM5zpClPUbX6GOowfo0qYtQZ3i
Y7LdaZuO9V1hpg/CINpoyRY8LBohS4XfPNkDQa6JUa+LDK9yGtWAXpW2LRskyIbW7saMJxYkDQjf
UBzx+Y3JmkYTZBwAjrYOJ/ulzqU236Sj9OQWO9dYABN1fXU/NKleo9Q1bFgRdOoUNP62NugnyW7m
Jcm6MECDtZFOCQqJrWFI5x7aAH155SGY1NO3XnAG6japywkvFKu/zOWD2RH4Gs4jGSn+ABgyV3di
IuHDKMyXFKRqNfnwJcAqMugqeXLDrjs2evkNTjZt12UeV/rGmSWJJG5hmzdNFvFOjYVDZEV2r5PI
kgm2ZuD59fWk20+lXT0WiaioCafqAvR/DjRBBInwr1gLPZR5ddkZ3a4A28x9cZyc8ImrDYd9Zs0H
4pa2Q2nrB2NA6x3z+4ZQmkBSXWgIPefA4d/nqxf1yVEmVGY1f3w8eENNYbrFFdOq+1yhYITAo7qC
DrM/ObFeIWPZJz3WfpJkxuidF3O+0TtE4LrbNUBKgGdtrd9FkGihQtIW9IMNjJoGRdfArDmpOIBp
7zI57GMFtUnott4rriYflnsy0ejBv9kFf/PcMnHKkrZdpF/JzbkXVbwbAefQuEcrH5RuAqljt/qi
BbFrQe2S3tgbir3jwK0DV/F4C2DeJEcIPQNWb+Ll6yp6j7/ydDUM6XsK2Cdb/t20OXI2lqL+XPA/
pgE7YkhfzLbYhIoP7If8vAAMFoocnBVDaGn2XTKM30qt2xTdfTsYRuA3/k0EfFgDIZb1cgT9ftT9
dMQRBigNrogNndVtAEaaay+FIho14cJT0xuygB1jRT0ain9kW/rVD41qo5OxubjL5QgqSa/mqwk6
WXXaugKlND3nm1XroOIKsoziKzo1X5t2vGDB5jFXNKZuzttG8ZkJKGYIsJkW5SWdHU+Ff36Tiumk
b3vhK8qTwcwpz/m/gX+OigMd2+LgAYZKpUxTpOikmFGh6NHsEyQFdZkD9xMvjeEqTJJNo+cU+LR0
qNZbhaNq3R7W9pkI6u3oyw0zi11qeS89GGsx4O2vAFstYwh6QNc2qp9mRb6aBVj8aJMaCRTrGQ1q
McXJtq31lADOjojQckXSVp59Y4HWMli7MRVrOy/y7Cj6dgLDDcvWO/g0dGIA3cTLvqZmdsF2+YPA
WoiaWL/tQXrNOj/HIL6ZPnwlTOeuVexvAQRsF3zU9JZYd/NqUpRwNFN1kdm7z02SLQGJ+SE5Voos
jkGMu5D5iGKOh0E+FWaD6hV+SYIl0986aT5RlBa8cjNqB0J29zogc982hwKwecRl6C/ZxYT0uM+X
m14R0KJozhZI9FTzI+sVTBmApUOg6Qwlq904hx6YurPrYwxcbVjxowS2doCuqX/zFWaqrXSgrcCy
M/BsQ3HaC8B2aLYXMwA3TgM+YSDdcZWdSB5+mUC9fRUqQYN8ZbD+HKTg4LZMtiV4ODsKp0R4H/++
VigiMHPQRv7b2gQfSNAOy393bNRX/l6b4ADxSFXk7QHJ9bOU2fxiIfgBG1Dvj8+x9I+JtWDf2VVZ
P/+xktMC+jGxdr+wm+qg6zAw4ACG/aPihGWsXzo27EDT/iF/iTcVOpBfJ9Y+Yde0GDy42ympeIqA
5rZmbq7zqfyaULxvTAXwdmaLcDQTNC2c/tA4xoesiG+oimI8AkfSCY+zdN3rwz5CpIgKw1lbbcVl
Xg7cYnDEqUi/jWHLla4QY1nyWcgVdiwUgKzVs38dN8WDowDlZrQQDMMsAyo+RFFPjnHyFb72vmDd
6kqoG65Sd92gbj2dEMBjwUUYYmjAu+jfeKQprKbBfKcEGbYRDZP7svH3LjdgWk/zVp9KBIvTbWOM
jNbwlhHBeCmZRpKluHP0Lg2kw7iRlnzccfe0c3XuHJToUW/tMhi2IIy673NCoFoVRXIjlrkNrCTc
RUlzZ/vzlm44fQ3Qxa5tk4PMxYthxCIYp/FSKijTW1gCgt8MhgkctEqM9ZQN8Tpvs7XvLLch44W9
oxn80QyJPOUJt3LhRJeMzo6+l6nbOd8svfaWpjlq4aZhIFElu3EZk6AJBZpcmaG+gM1mDx3fbu5d
W1GJVaE3glyosLbeuk1rcVt1b1gDPwTfbkAxz7diEyY2uteYqiPokNSxTNNz6VnmimQ9YwXis6py
yQ5GbrMHM3d7r/JvWU6urpvCODdTOm30xqjZHqAVD21h7niR3dsLe0KZ9Nee5jxA6/jHRqZ7onGS
tduEl3rHqjlz5C2M9Kmr+usxrNZ9ru/gmbfVRKvJcJKvvt3Zu3KidxcSYY0nttkuiUBYOj+ZVbG1
S/lijzOgtCVvJeqOlbGM7/zK02ay8ncpGuOqrCguG2O+TifPIt0wPvuDFl5Iq/3Gwhj2GYzghyQq
3ZdYK8SmEYMPEIEjc6MvyKyckLpY1peEQ+AqjqruZuoqk+yKGcSAPyCe7HSP3rzaG4+SxB4vFNu2
nva9FW5nB3m3FbbPvs21Zs8lays1vwTTzhpRbzsS+jE4/BF7UQj7Fy8PVl0ZK9ucx8CqxZ3XuKfe
mN/zuMnW5JjdIqyOTu4iN0shL02WrAyfaU/m4u7ElfeWLrV/6Cvxxi4rDTyPAs2RwHeV0d30DUEs
YXsOM0ANQRPgWAl8noyFARIIFOXpy0+4RwU/zXwF+mX2iKN5mxrhR16H1znU+touev1KxgND44G1
33DJT41Z6ptFd5t9NCxrjVUyQmeOY2p26yQ0n9N6UaE6fX8R25p+ttisf9f1MLuvdLve59IjVdDI
YybO/95Ov91OvGT/5nZK3pFf/8XNxFf9fjPpDGgNeFb1MiUS7+dXM3IMk24+dJTJW/iPV7P/RXBl
MWz9z8SXb/jjZvK/8E1M1SZVDJQisP5BJ43Mgl9vJp7zAraPi4nsAswaPz+bFysuYrNKmNl6Or6F
YmHDwHipojc6WIujVOpuecF+i+qi+ebFWPPPW1NcuUZ5NdDPJpbzNh+GF3YbA8LE4Aay+KnEJkxf
7tYqvXPt07nuxLPh2ri3JxpIIjv1jgDzh75EYjg8kMt1D0zFo9fX86BhNWUN4P5MH2lNysjJmWlR
Gc3rwuahkS5Ppq2RSzz1x9gpN6RYiiBDs9QNBGWm5fKEzWo/0skObMR4k4ifKeQfFq+68FNe0y6n
SeaYH9pYUv8PjxmvUhpmzrb1te0iluvEz8SK39mu9llTGX2QmqRHCRUqO3g4HnpykOgVegRWknnQ
aNu2k95qLrzHZjSnlXqgHBCDGygtES3pOQGSo7Zn+437ImnD/aCRfWtPB9OQTFTc27EeboFh2ofc
mV/zmuvBbbwjpp2veuGcGJwXQa1PZxZUsOtHQts4abnvpZbSm8edaXcH169ISg0Z7hpvxO6+ROHw
MHsOVh+bue7ijS+Z3jGkaKwztP67JbgLiLB4+LQ2jbotA80Otz1y9dU8Spfbft6n3bzzvHFTM5Af
Ov7Moii3eYBHKeQRi5SyvSQwhelTKNJq1zuJM52IcpihAWq9P1Qe28e98NmBMHvGKE2lt2JDrzSU
m66zev81l814SHvH7Nduhj97NVnjzNot1AyZXTaiqLhp2E32efw03A6V9b2M22aFi8pcWzb4vGlW
/LeRGNml++6Ggx34WfOhirDVTPDqXBbLShizZLshuxVLPZ+EJS612PQQKdV8D3ZjKy1+yif7ufQm
/NWTZAczi/GksJDEw+EtrbsPc57el76dV1LkjxFw5IrhHJ4r0o8yYrzbUks26dhbG5DE68m0orXl
Z3s7bp+9zOm3vH1zuGXvee5NEuhs4p1dMb51nqmaU+PET04PZJB0XqCnfnTOI7K6gBXWZYTAaUrf
bLReTsHPC7nA1GsnYq12aVXfSCslRzWbHmo7qVcuqBY5yCtAZGos3f0a0pnaOfwTzxi/Rktzk4R5
MNvkEozdc0kUAh0aDae3EEuy5ltNK11kpLrFGhdIvtK0uGOCN/FIG/kbx5x+O8xVdMji+LS45eXS
1oi06w8GAbwwbYkup5mz9vu/98pv9wpTk7+5V6r89a/CKm2+6vd7hRcPi/8Gsxj913sF66HSFwob
Klx8PoZ+vHi8L+oKckB4eISw8MKV8+Ne8b4QvSTUXWXTx1WOg39wryBe/PVegdHlkhJkMIEKoUf4
+V6xvSJt7cGcr7w+aq9FOhe3NDHx+uW2eZzHLHueDRLYPOQ7Z2rKcCUXGVOFyuVR+GN/F+tVTog5
29Qcb+FGaH27KYlLwhunX+YKkZOWEV44jt/eWFPP10tGWesBcJHDgpJQ8/zjZNJJ7fq437NqlX1P
aAqQhQ59R6ghyYh1N70UcRwdq0YttWt9uqa+orXIS42V8fnRN9k/VhRNWIjjADUCyKONp5IYxE1b
kXExkYgCsKhfZexj81bKsLe5TbaKE2dPJU8D69Nkpn9azTz8ZvVsjDaSJTJ6lyX64KnwHCsd2hJK
Gk/1MQV+ZYMOZZq5+GPQc3tfR0b0pONVSwar3dp1eeMo5Rr8rrbrlYZtUUK2OEbNllv5yVCytoQQ
5rUex/Yuy0t7I5XUzTW4pxIY1mNT4FYMK3mztGCbdY72EDx1WWmOw3KiR+M78i9TCzxIzvzpaEoo
h9IOgbuSzHXk/qxnJZ5rMNANZvrCVT+RwkEaDu/tdGNAFcdRs/QqNDPeaCPQca7w4xAOObU1tEOA
yROEcvGJKitomTWM9DzBMWsZQDOuaxKVFeRM5haOhOjOtcRNIei5ZNO0M+GiTc5cn0VsYGle0lcQ
udcVFLUedQK1XnKo4auZjjtM5JxNqNBrV0HYucKxu84hDaIsTh2ktqOQ7c4d7ySPa57gMgsyBXaD
wl4JSO8S4ltCfqcQ4DUkeKyQ8EXB4W7oXnPTbBeo8WJJyEeCI/fRT1A4QZbP9bqGNKfGg1GDPeeK
4n+BRi/M9pul8HQfTp1g010Ft94ogH0KcR9WNVA7UazQl03GIy8wLXf4bnsqbNvCGbHF1njhj3Bp
vOuT7MJgVEce4JxXx9pH3CGMdrqIWBM9/HsY/3YYMyr6u8OYN+tfFfl81e+HMT0mdnxgNj2F9/xi
ziM9mr6UMsr9Nkn/4zBWwyrwTGEwa/9FQatT3fO91K4FM/Z/BAzZn0DQH/NyOllMYIRvmx6rFyxo
mL/My9n6z+sMGcgVqd38ADnqZ4mx+vC9TYeNtCH1dIUB42IrgbL9x7BnqzRUsLDjiG99kd8JhREz
5VsPPYtsIYTxoOmHDuKYuVAUtApCThoC1xWZTELHy6hY5U5Ry0XTHBoJOLckV1avHdhyPnewQEYL
7zwo8lmSvbkSnbcvgaIX0EYBJN2PbhVUYNOZ4qfzZLw1rf7ZV2S1k5U3c6YZfFS0e03R16HisBuA
7Ch0T3n6lENqjwrZTp30tlMQN0sjsM7OiUwN+mRLuZsV8K3X9lWsEHAdFnyBCZflcPK68K32x1OC
zslU8LitMPKoDM+jAstpdj3zsN5QwhmvNK6Y50GhL137mEClR6TMUNdbTcA63sMEuT4ohL2CZc8y
7zwruN3g9xBCuydL/dop/F2GWbJhClkEsYLjSyj5UOHyrVc8cDdedcP4UiigPoOsn7xm13+i9th9
V5LRuAeFT/1/lZlg+Q58/qBA/XnxH1PX3w4Q/KOMd7pC+jvYfrLl7UBC+3tQ/6PC/0f2AJKYtCQI
Uop1P3ts1LJAlvVPDtsDo4IBerVPwF4BoqTogghiJFRU6SW7B2M3EAHMNkIXUnx27CeY7CnoamHB
E71/HN2h3gCWvZWRuIvCeTdkbBQXFcGplWmsBkt7B7RQZeXWTfuv/LN9WdEUtKWHu9YkYiFOe+IJ
0vzCn4p7pLZGBuzBor9LcbOOrTBei6H74I24T0WLVKSJg35oIzaMs7MxNJu6wgCsZ1KupNbdGbLd
gVA827Oxw+YR4WR2Tl3KRLivKntdlgXCw5hpEIpbu1/ygMt5M8cCsILwRh6bLY9aBD5pEfYbc7Z2
ZlSdMsdmvMjoIKMgsbPxmMZ9GsTtfNn6/Nnb4amnqbvSWA2Yvw9R1X6Ny57c08+0PbcieM+syaiL
Vp4K5NN5Nd8CvFHDG1OyJb95m2kxAX5m+EHC7XvoEGcQV+yrq4gYUU6Pndt+6zNiIuuquuHe2hHr
cmPQePWwTwSWizh2EkFqCbkGTyPp0ukvDSu3+c3VtOFoTFlTim5oIqyJoNWVn4uF7K2O12dSrPtq
2lru/Dq55rqZphcvpMry5wf+omMy3bTDnGgXZRPv4kw7lH6FrZetmhRXC7HOaTFvM498kcmreZMu
Rws5gtG069iZo7VZTFtZwL1aCfxt0mRBn5krfxK7kTWgoi74C3nslYtqGpSmIpAMmNBGEmlYivVc
dOs48Z+KlDCbro0vZA3ItjSJv50KdyCHutxDDl/y5PzejTYfAkCUSdSbjALJquezPaQHOBcchqbe
nsxx5O/WWYUacsyu/Y5i5opO5rpL7Xs9iViNmNuLJRMuic/lxs5YeNE9sj8nw98amX7nDOF741JP
+RJ42Y+8oBNyT0diCrTG2dtWcR3qizzFRJqnCU158JYgtofzKMrThPthVWQ5GmTvGRfDqme9gzYx
3XF954vhOnHlV92sDyGpUsA7YpOlOeffVKIVd6tbayCKO1laBD285KN0n3MA1om8DN3lHuP2qjH7
m9Acjm0jV4x8SXzjgb4s5tZ1242FSqmCk1wTfL5wCltb3+lPYOBbD5w98GkdNrX+LQ87c0XI3ouV
gADA01sHQ0TXRkn4ThTdGIt3QcCpDBZUJ3ihx6PuZoEgACTI6og+jpb4Bytyhh0Ou2tk24SMz9dE
7nxY5rItixo7DaR062nbJGlKtqVIB+zr6154D1MyxEHhOEMwFQ45hqmZP2UEgK2jWn6k3XDChvGY
DyVtheoi9hksD21yO8BMmkn74UQz4U5GfRlP07ZJl4fMIPURZOSRE3jTlc5Nq4Wsoun+s+a2X6dm
OuE8rRVVIegP0zQw4pOJGCSelLo8Otl9zzFuzwdSMiijjRCBw97tuuxR5vCja0Mrja22EKjlIWrI
9eRgOmqvbCyW9VTFb7a0hvUsq2ndtcarvyxXRltYG8qFaB2ZBkppAn9Cq/kQTDkDv8/OfcJ+0TBP
5ZqJxtcqNa+rwrwlf3bEUmGzid19p9/IgMg/4va46tzpsJicX61gHFs65cM0a4/1VN3nCb2IsbTW
NdrolTePVzJjkm4v3t1CPOY6H9Lhpu3Ji3aYZuxtNdZ3QwRb5NYjnDj9qZ76C+rzMzbpj/JE7XNC
BQrddJWMX4Xd/PxW7BrPsGff8q+Mu2L15GzldROQ2xn4r/e33RkTxaYK+n1y4exIGNxX2/joRPv0
HO/+LXA/C1yV8vW/C9z79/j1rwpc9VW/F7gGBa5JYIKC2LEaMCn9nf2yWBamB6HmmvSyVYP5x26S
Tho0nWrPphFAfpFF7/tHt4EGN9Jo2g3+Z7Phn/GgxO782m2wsS+qrjiBDZD2gtHwn3eTypyfK4xF
3pX046xbpxYwlqPv07LUjkMebYzeBgfX5LwK5XCYxpnasTDdjSH9Y+8QHVfTpN9G6XzvaVWzG9KC
3AEjyckOKDbpUH+PzInkgaUfpnAHGjZoa0sbHjsPhHEuyOlyWzdk6DK7h3QSjNxMvIpCtmceAAN7
o2YMUGN868PuQw+Hfs+67SUyH2W6q5DsJxM9YGO6EfgUbxo6d0GUjTh2c2IGWjaYVMYtbb2BwLvZ
rwm45d/KmzJosEHbG6R5blJmS0j7kjejNKdh3Uk6931J8qfbcVNG9QKXY5GqmoWlcRWabA5PQ8k/
g23ZCyM3VjW//JLkRAUKHYuQnwAEUe0ospSHqjXSOkahVMV0/cx93zJZ5on62ucWouiIpIWql85K
hsQeIp/I3OokNZ2by7UAagrSG5YY0rwdcPUOVGctYO5G97SHeulwMrb7GmDn4DTLNRKueU258tVq
xPeqrS4bjo5Va8RHw8MH0of3kYRDH8d2LTP/o63tgz74Z6cbmYZ2mkvShC12dV49pWN+dMvkeUr7
Lph97WOKPJYpe9Z6c/niENBSl6I5GDZ1alrC+ZQufywypxaw4ii+SNixWGVNlxAIUF17c/qY6aJY
jQU3KSDvtKHDNFLGluAiXffVld2z505BZZvVJosShHlREhPZ1TxWdIS3hZ47VEButO706R73TYD0
RlpBIvV+Uy7AcG6OlSmyh+u6g5TRxYgieuHlX/dP9CbeCgYO29Ay3mo2lRiAx/2xDE1KFc/aRqWQ
W3eywmBpkMZl/LjuBjQwyB/tAvuzgQaptq0DgaT+LqI3F1hexQeBPNc5xe+cdd+selSBXESMG2mX
rQe3+6DHQNivPhcBn/06qMss3ybozsiB9lcswrH0nfAZIS815wKKl3VoNAGbWOjDsI1G2CzXsTdd
WTLcm055TaFy5WbeQaMyGMxDUazD8ezzPTu7v6ubsWfcLQi+cL8Kv7jKyiYn9jmd12E67TKQMb1J
3ruyf/o/9s6rt3EszftfpbH3LDCHi11glZ3kXHb1DaGyVcw589O/v+PQ7bJVtdMjA6sXWM3FzJRt
ijw84Qn/YMW+TM+0RoAizJ15ZTnlNHPoD9chzewoP1PVZllJyS0Cf0dR4Z3WRJErRUUURSXWiNEz
bJB6s+jtTMoe39dYHY9RFvzmV8HaMCHjmXJnHYWFdao6yTqoEXCSNLycK5RJsygaRYs1oEGhYPDl
KcFREwanahOcKkn+LVb6AgZfRR9WcW91y7hrcOVUk0gnNs6cWR8qJsYlujHDrw4+i2fB1WnqpaeT
zCEoTKBIqbQz3bvR5f6KvKkEMo+th78jH8ANBtvYPIyO3LHcFqmmzzniQUs56oqq2YhcBtwah2Gd
trV/p7raZd2RVmhBM8BDq/RZ1KLJGhXyD1zMT/QgOA1835qA28LIGBk8OQm+jaZ247q899LNgIDW
sUTPR7kybAdeHLrhnpZeqlLfAQBAF9NpkNkD1lqktjtXK2DmfgOkTL1p/YpGiYQwXG4fB5QTJq6V
XMYoZPVWIB372MwFRp3O5Lo/Ngd7jhQeUn69akwRTomnZgoLJ9bhFo2yfzamHc1/al8zFBV/eKN7
U+TUAweFUEYL/HzZ++FjmRObZdBOZbsbZxRP1Wlq6vJJh2TXqrbzhdXRqx+L8XIAwDiXWgw6I8e7
7rVg3qjSynHzE8dJWsqs5TFUL4jSiu/RkkyGpUYeO43NzFi4yXCf0PFA731TVH1AodFv0HVs1zjN
3KpGezoCwBTcyrne6gvhP95m9gl26/TV3HqFKFAEt9AMJjRll4OlPIxKfmZ47Nm9o2GN4c8LpdwS
f53VPX3P3ptbAauzGtD/1pRvGTx/N6If2XfuHIjByqrZTb0aq18mAZbn7Nz5BIalPaNUgpbgYN3k
TXA26sY2qtkoA83EbDy2VixuXL3H4EwBKzDpK+e8RPhsqeodgXRZTexYR8SxQ6i2VaUJC+2yNMii
TWvMlvhobzg7y3kW+M1EQvZ2LlNUOrdtyQarCTClrMr7IFKujbSJpxS2b9Eb/BZGNKVK9gUK80yN
GCsbdhBlMar2d5qs/bLERoT7+16GBagIO3usQD5MnBCwQ+pr4xqMpoGyR3HBmUdFhp91uX9SI4I2
oS1JqC5lcydpHl1R75Wt4lHz0d8JHQDYkkt22bpnSk5qqGOvsnAyp515FJ4nbtiAu6rZwVzbWPsW
Lq15HqQTCcBW1nirAZ1/dBK+axL+O52UXg/Z6C8DKfwzsvIHoeJBKz1Z4liwJI7gHbjttWJgXV60
pOhYDB/ltc9RnOpgvAiN0BYZgYRKSnXujPrMw+w5EsboEPbPewuV/wrPdFkLCINxUbelFBgWvuod
9hFzqcDpHBDNJvLx9c496V4WduwlUFF28wqXdp2Cjx/ohjSNG98+kuvIKdZZHGcUEcpAptWLQ0w7
onzpFP6zxtb/8SgMAtjfxNFlAIliIGh+0jg/evzP/1Cew2/+7K9Amt6cblJNRD8NyMe7QJoisfFE
hRCi5a9RNKE3bBiLIjFUJ0Kun7Ag/DueJSjJgDD8h7o6xHEfomi2fMrNKrrlNrcisCJvdHXQvu3N
AnGdi1TJdf2sUht2pKEJACJMtKFTnUnf02YTa/YBJvefo1gBVC2udbEmNOv7AKB4nrNYSmQSC7F6
apvuR6Nba1msLEmsMZpzrDax7kjJ/YUq1iJo7rUkVmeLy+E0dLPzaqgfJbGCDad71MWa9mmFNGKV
Z3Zw0ot1j1DUmcRGUMqZMcvE3uDXZjurxX5hDeWjlFEyJeYUQryLMYmGpcwmI7HZ+F2tTKhQryyr
XqdjVFDrZFsyiu4b0iu3cT3E05CdSzPqe48q/tIRmxrKfua5h9LDHJGseoKxQDlX2AXpoWdLwCzt
xGaHRFL4PNMJXvxRvQZLX0xgxV72qnycyMZWr5OlVuI/rgcnujqgHYRwZ28DJHBqfttZJXJ539DA
ynoh5hx5OKGZ905IxwjRRl17qBznoVSr83IM7oysf4hotc5oPowzoA8XaOOowMm7VeIH0iSs8Y4Y
pcZbDFFwXQXaGgbZetQKV0gxIrClxhSMUQo+CpWqmBiK0E2R9QvJ6MCaiczBkEBVer1yEvqmtwyl
xlwUHjDwopExiOpvzQqhhY7ysGPVx3aGy5dM7JYPOoYcUYH2bp6qy6HuljYIxlkpKjg5BNNlZPkl
8r0wkM3WRditUZHdYauaWrhxlV731bUt1JqbC1NuzuUM0XlJcoplqadw01TANxEdUnqZk77uvAma
NNCF5fIokQxEW1QJtVKDYLiDXiJb8trnVfCb5fdQKq/M1rigN3DkhVTlTDVc6iGOJ7W+cpQ+nUSj
eVuHBQ0R7ytAyS2Zr0TJV83wfjEhQBSOv7Cb8T4NISF4an6MS+ad1GD9G1fdrcRePeVPAY8CeJ1r
bXQ9SCqcEtXM4dlkPxLi0mmQ5WcUPM4jHfB+PfTqxM660wbyxby3++zc6hJEm8LSBhcawEWJnBUs
A/RntLLf1G4ezuQqd8H+wqXRovCuiWZWHNwCPo2ZgYE1Z63NdL0lJqmtepli5D4xOuD9vaK6SPUh
yZx3ZzqaNLMkDLTZKEmXIEx9gJjFOLNUYt5UTWnT9iakZq2c9t5IQyLbRD0iDMy1ax1B7IHzCsiV
5JVXmVXNtaFHpd235jZ8HNm0fqAgRrXL0n+Uo/zNqZxTuYvX+TBcq5hPoe8k+XNzAHcyJMWV31Sb
WEdRPhiO7Gw81pG+nZZKL+OrroRE3kKVaPihVuWfntScdFl9GefSGRYBuNCleChG/ZnmtPgMynDf
oSupk7CJhPit307Luv6RSwlZdN8JyLW1CfAzpfcmo/wjRQhGEbIjM20e181AC9iQbFRy9Xt23QIS
OmFQG5sPtWKD4KKtOmNDPkFvtl96VdMs/LE9rqFfTdXSuzL9fkNdl5aCHsFaKCqkhDwwwZVerEzM
lQuaTdPa769ro6CMKcRDeoClRSSYIKlRsugyloRtnsUlvbCsdzm0UVXWG7efWpJ37br6eZY7146r
r7R+sAmS8TOk+Xvl5sBmPaVYeLUd35cIykNRak8l2VKnTSwWthHeWcgPTcy2ixZsq/qUusT3PkVf
pNEDJKvSYzb0q0HP2lUhJ9Ql1eYyJ6YENWDMWuD1S58i+LStNLSwTDQ47PTYd019iuHkaeW3l4Gh
gwEgQXCRcZ5YWanMUy/mb9v22jBDe4Vv4vcKRX5ULUp3oqaqj85yISHAJf1wdOL22i+DJZonl+mQ
fTc11nYRWzYkJ5tIpidsQU8lXcuFQ20hK+4VO3GnyLvEk2ToQWZhg4SEtgyZlD3byFN5EYKTWMR1
9r1xKJnmTKTOTRcDoJQJnCxzwnGHB4WmRSQesrdAUYcxRQ39iPxg5ZCV4UVIxKahzsUotbf+EF12
nInTOgQoERhVOEE40YNlMzDdbDBUTci/wQkLTnNp7GYRiiL4LGUTUmu87+Sum0iReWtg9lSmw6OR
GReQ+ra9wuUqPbwXueWkQ3BlYjbpKUJ7BYxG6LA2wjmWla5kRTmq47wE4aw280go6xRxGB9VY3Gr
qSz8ONXupEE/r4P6sSviBSrQtxz28klgVqSYtnNUBd45nZYbmDQrRGkxRfQRI4+bjJqF3q2wBEe4
fagmmdD4odXZzlTLegj6TJolJb5XhRAnGTL7SnGTYm6QzaLAD+A/zxNYB3HjHsnlsDElJkPtt+qC
xudNn5Lo2q50HHjepgytmUdDa9KH+TIrqF2nVn6RRThHIPDiIeJlPGDpoC+aOvimy5S2wsK8kBvz
a4Z8g5vH/Wr0tB+hTLVCayluq2oJMqhPsRmwYtE4qWDZ4Yoyxz29Bnc5OJNiVL6ZVbt2dHqtY86L
LSV2bX8AsRdaYMBNKdzIqXoWkWpN68ANidzzk0AIuuh1uRyQ5p82GqLmjRytQq/up4Gtcd4JXF+h
uuk0E1IwpmM/omLWT9COLhetosnTLGnbWSYP1A6wOR4k8452lwKi0jWmSSHd+GV3SzGFZCdwplkX
A7hUCO8bbDy9KoPMoPvXtWkVcyQKjxqvqaaJ7NzqaXPhxZAstaqmDJVLzbQwWU8aDfjek+KZGqVH
EpETCzKU6dTgjOElIBQ5zxktjpBwVVDooGIUbDsgoVJu/jBlGupA2WdWIvgEToQoBUwAqCoP7VCe
OJzkKIwbD5C2MRhoYGt6Chp/CE07Y6tPezO685IEGey+VKd2Y05DKaEn/x2R61MCA+QSdZwolSY8
zo1SmeZNiNZDANeqKPmZHX3zJINWXBfeKCQz4PalKyuhDajCx9Kd7q4n5qL8NEKwyLN0XtSaNx0M
WrhJVPA4OqwXuysxJsv0ExsMvm0PomlexFPW3Q9watTVQCbMvUhbwJG/z1uWrl8ql7GHQQxz4Uwz
A8pxRlhOmii/NgPekWEpGuFlzz5dpme9XqaL0tSpR9YPtDaBFQT1XdGjP5A08u2I8GE/xDeAlJNZ
V7GlWvL3toVfYtNwmeB90s2yuDnNq3KRyuiJyEMFpzaXUYEzw61DbOy3JpSFPt2OSXk8OlQ7vXI8
QqH6Pgih/6BVlLfAhCuiPCti6/MLZqbvdNYyAyYxKxprKfflD9MnpLOy/puWEPO1IaofICMaKz1y
XXfmR+kGSPP3sG7Odb04hraqzDx6sbjFcFJqBR5x1lXvK/PeANHkFtk15YEVgNwjx5BAaIUXNexY
KDrDZNBAorqItZbtadlnR02QT2MDrfjjKlSGaeFZanQZp6N5P2SBaa8LibbbJdK4eTsbbBNWRi49
awf/Xw5q/JbLf9Mwd5J0uyMJfcPkVxxBvVcswEVobKsyP/qrmyN/MWnU4Fqlkqa+VZrDMRtND3Cj
ivrUyxEp6ms3B0kQOPdATbH5fNKc+yfYUfMdW+4JriTDl0MDBuk61J9FnvomD1VaAwwErLfz0fCP
wcCCBMmonUcpWm9hBluTQDx04zM9x+gBwYKV3CjLAE8mvwF9gJC306mXKXrzjaYcd1W+iRr9m1uB
JEzrs35UTj1HX42+QLJL2TD1Le9bNcSXLbWbuZkkKFGa5lQXjkZu3OTTUSEbSgYk6uPIpyaW1Old
pvknTZPZpyktfdsXeBQhTTaC7EGK9rspGQvNVSh5Q0vHd3gCmeC+U1oQ5ykVMoK/mdrAM4gUKKqN
mT2iqk4gQU1/OvoWUXcbKUfGYJ/WtXWkuckN0fUW6MRZpTuiBX9DgT2DpOYtMbfGqRMZ5qw1z43M
Oo5r5IQc37jVJGk2ZvWfnW8uqrZsaaIQVHSOfQFG/CROsvOwi9ZhFy5ySXFZhHDbQotSr1JKd3gQ
09MZc0Ryw1O/RBFfAOjpY9RHKTql7LcjWbTpJAspdP7sreTCaPHFwURgnReXoPUXCccspc1zlNEX
jdbT3wJvEIY4hNHt1hRsf2LpvtXdO+qzC7MhvXEgn6+0OPkeDHBCJBm8KUQKKFLhekA1BeZUcyn3
LnFpZCZfC/0IdhxWmrUNWJRuUbv2ZHvhgmUCOori0dC01z7UEf53sCD2iWd1kX5tuA0X7O00Cjik
9S5bGoHM2NjKlCP6pGh5D2EoEXHIdjzLBhuxp0G7CuzspOvcR73IAbqZ5o2emVcS/dCpVJunToKL
amNY/tTPSfwpdV9JYLiMsNZPMXEhzinCG7xUH+DYIJSVXELkfAzT8qvnANHAIY7AkIda5a7SwT5w
8QjNem9K+Xqh6YI1aIGAy4IIw4oGtbpkZYwRmKJ2FalaPE+bfqDu3mxRLMtnuglYTbby+yxL5g4I
IEFx96dFTEJAfwDWQa9UE62CJSpBf52MPUekiVTxGRzL22KMyCQaIm6ZIzALANlhM2Fjz0IrMi6z
EznrYxodEVCc6j4wrVNDN67Q8A2mVuCgbK+M4zJJifBTFxcSZ+DMg9v4Z54W13bLizc6D+XicY0s
86PbSsoMSbIrJ7evGqSrOo02p+K6R1Yk2RODST+BwLvoR6AmCO9iLORFWHt3JUZLRUnIMg4bTxur
KdkkITgjOqml8hh2zEyO6O4OYLaUOAnOES1ZBqOazIfoSkLFCojTpPXGjRQNm7o1b7y+vYliBW1U
+yJSVarzHgy9TiW+w6L2K9qGhLKxNffHeuEPrXkMOKWjZwq+GHgfWYk0bHivw7FeGfMsB8UbUWCb
qZK+VfvqLJalM1xQ0nlgD+kc8Pkmg7E05DXKZGYy8LqgcAydZU2GkiBcLbrrxOoyNJVrZemCxhYY
YO6njdNZ1zAD+fcfagwFZTBidxLpovkbS1dUZbZVwpTQzSQg8rBu87JYVzFce1XRt3kOpBkRkSok
V8LZSJ+nHVIPpkI7UR7LU1cBM41p+CxhxE8KtOXBWDGbmjr9picxdXCJPdgLbLRTWgK2ePBWLvIl
q0wZNoUZZEuHrZH4elFojTQFfn421v55FWuoCFlCsjrQrrsw6WABQ2et5CUcgRvsexZaplxjpkJ7
bYSbLGfWxgNEjlTascrDzboAro4hN7foPShTeGHFPA6pNZUGkzqq3G+tOX4ra+oIle6tvFhaQaVt
5jTmo4leN9e5ja5LGfF+NSmb2dTfph3EyYmXUBIq4cWwy2e+c85Gt/QKLN1UvboZ3O5rpNZ3ZWGD
iImaO90ZZdqInUIFQIUGU4Vg6WzfwKSQfm3moWEZK9pRWYXXqaktx7zJaNMo37qIOoYThxhKO9h/
OcDbtNxElkP92pqXXXU8uvcd1UBfu6SqNKGM95Ww+TbQEl5NWi+R4VirOdXPPFYqPP3MrcJGP1fw
BSZRZWlTfl1JBpGghbzzPLboPQc6LpBOd1rl8VVLa9DqY7ZfhKzHQblGfPLEz+hRBF5zZ9XUPOSi
Pi7qNTJNk9pAs8UD0qUPGDzEmRMsVVT8pkYZ3CnDuIzjMjyldETHRirPHKT9Fu3QRAtkU8LJSIl0
UuXk1YYrjIa9Y4PK6bQybcHdyzwKKkjnoFvdZ1sMbv2zLq1RkSV+N6y7MEu6ZQnICehCMQ5rhWrD
1K94z9YwmivPrrEmcwUtvTp26xG4EOz3c3mktYfJnn6EpsQaPKJtbxp9AHHQo+Pi53Yx5/AI0UT1
FomhnKm5ccRudGy6TB2sSCYlQt70FHXtKzaF7BBtQUGxklaE1Wvodd4q9eWtNshbd/C+c+Tg4uP3
q0EmGbYtsiyZR+ce4RJks6iPH/ogotzm+UtVDoHKuTRfU8+893tM+uC8hPOORlKhVNAsgLyZrSRg
siZK1LM4/17Lx4ruXkWutZKkTl0HpXWu5b2L9W+iTKNYvmX4OcWVeJv34XGrenhMFv1lWZnL0K6g
iqFPukh7Gb/FUs7BeoI0VIruPq2Rs+7ja0MfZmZs3CItdDEUIdWgMTrqdHNRBvEFYOKEmliPHXWO
hoz+wOZ6gW9eOo19pkBgFlfw/RdscMqy02EdOEq1Tn3cn6wR0K5ZA9wMk3P6hJDjXB8rOUQf52Vf
Mx86L0aObfTBhKAC0yPtmJt6NQkydTNWVBvjDl1dEpwJniprgtz7ssxPeyu2yJ+luRL0U6Ozv3G0
UKhSr4AwnrByV5ZqymgZ+AJIkk/DID7rFI7aSDkN3PrEjbM7WnD3nRtxRqTWXaX2Z1lPatsFDuVx
nNixrfa+JoOMErYUH43BcamXZxSaFnmnUssJ7EvfyDmjJfO2yduzsfcnSAx9j3XjuIiot1bacNpi
LrUayoHEsTfPEgUtSTNhI5QA/hoBVT9Dx30P8qw8njSlpk09PNdQgzHvwi5JLjQgoUhG2dJEwnhr
1voQzFuwPtNOVynPJ+kwzSsLI6SxXFWgS2alHH63OmIYu28urLzSlk7ZZkv0K6vTpCjJuLQOFLxl
sym5MIBcaemQUxNzujWLy8DiTb9BsvLYDKxkieLnkUO0BTkm10JzMrYOnemnTtj/pWOiR/brluBX
WoHNLoa4+LPXliCSsqZwt9FoyCk/Y+tI1AwLKi6tOAf22luGuP4FjSoMGXTdeeKIkCO9ZmMaZsW6
SgqnyRaYONKnf8DkE9jLn7CZGAsJJRF46gqgcl3w/N7kYr0seW1Zps16pFcliEZehUmfnTxPkF/L
i8sfIHyosKi2jkIuLRVV1sWNvPkiBaGSwgz1nMjQcG6xoQDLlVjxMK5A/dHV0eq00Y8qwADXqBN5
lOIV/S60yd3yLLSPS29wThRLyEtbpdFfUMu50oaMLMkcPAvt/CistD/bvjBtlBmKtkVrAbB/i2wP
YHUpxoo8rvDkzPNMnVOEw0nUljyXYL9yKbxEgzMXtBl5VqUPRqx3a4vs8xylxTyeKjkg5kXm9to0
boFCxBWCcCA2Mu1cbhUjOm3j8Lysow44e9pTqrnQFHlrVPljyqGEkvWN1RarFN9fQzIzzg2eAgoy
UGB34SRzo0+O3GEoZlqUYNVbKrN4KH74tn9FGXOtqPmPRmuvY8XjxNXL8JsVoQzieFFzJll5uS4q
wzyOA9hrTkJfalSxXJck7YceVkhkuL68Tmv0f5MWHUlyMgMFcfsMvPy6SisEtVQbgASx87JOrdtB
ke5jFV5QFvowNOraUyHLa5gCekjZziEgBfR/xCVq7D4js7wt9RphStNO/asKVY95Az0N0r7c3+uQ
dBhFNUMeIKKUqEvlMAsRZynM2j72JcxO36y9XThj0b9+N5dRIZUBCuJsA73qXV0B++bC8xA9W3MA
bToyjevx2pqAawddnK5cZQLrfI4K/Ryq6cQ41hfaXF250//RNx607Jv7QHBIE+RYlBINwcziPPt5
qqN73DVe5WdrQvtjRI77aeQVLnkN0QgdBGdetK62KFWzRJHBls88q3SPFd4RDsDJdLCGteNCU7XV
8U/cKZ1FpdJur+t84drjn5aBuCD+0RC4xv6uiHNropbFMLWqUJsBGFLJfujQGH4/HzSccRUoX2gl
F2iYwlt0VqMG/FNVl7puKJMC4a1J4EAXStIVBflZpqG5k8n5vOu8UxV9FzIExHVaoowkCasZi3jd
AWJaFp4gZGjerddlK0VLzkitsNKw86UcMdEsp6C6L4fXv3/FP28iT1JOpHKocOsO9SPtSTj2zSbi
jGrn5IlbruU2CZdsBDEPz9kuBf7cyJBg0Atv8/uvfCLP/T2rPn7nu7cp9RgLtAiyrgtPQyWZKAt6
D3wwa6UnzVlWuDQxTaopFnoGRkyxlybZgAtkA3NGwlEosO/lgFItijo/XLqGeVGcqZl5Kbvjg+EV
fyZdUMyKtMifYff/H5zJL7c429Sb+RNW5rLZlsPVtqIP+ZcSuvjpRUbz9ib7937p9dDbfaEXlM7N
kG//8z82j4haIeJZl8FDDXacYxskz98IHlEh/emUf7qxp7v+7XXiDddpHvkGqqeUXFVObPA64sO3
xBmWCc8/lpC7/oJGmYM2MvOH73ozRr8ahd8/4PNw/v53fnvzHwaBE3nvQWDzdRxUCXDu4sPG+PMg
qF+QH4BDq/CT//1BeDsREBIg9PnHz88D/j0H0JuDQYFLC/q54sP589PjE+5RlSfQAj709DmEQfiw
HITZ5L8xEmLCvx0K4lkbrob2/KRs5D8Nhap+UWlBWMJl5n9/InwYA85tXt4/ng0/j4EtSOMEuwLR
9/PDy8g/PYkxPU+U5686vB1BxOj7jYGufLFQv7LV13nAzPp5KPAb1AzToB10qBPhPbnq3zkb0MFG
Bpuo5enzfltkXyBgRKTSes42D28miONsv5mgkeoqnH7yrwYBjXFhuKIo6qEuB2Xv5cAgAOFEhQcd
tqeP2DB+ihLUL8j3KOhIHGyU8DxFnxP/v0KvfxQqOV9UEQixHn45CEDs4IC97D8HuBz2PyBZDoh3
KvibfpwCoLOxZzOe19wBPv3z3NxjCohjQeToqogWxedDeKAzR7ATMIU37UHGB8r+OyIaxDJGU/js
Pg/C+7NReFFRRIBEcBDRMg/8IWXgve15LNhfLHgShvoSJ4rQ8+cdkVgJ2AlJg/m0Wxzq4aDvHyZg
yaNiioQn+i/mA+mDY2uigvr8Cwe6NOTn6brH/qCZImykfKb8eigsG36e/XImH94miaL4nksDf0+d
kBHG+/MxKYoU75eGKeSlmDIHOhOUvRcFg2DhN6XT73j/9PoXWgCaTJJ50KtB2T+RVNkCMbAgcnye
Ce8ngmJ8IYVitZBtis+h7pHK/mU244uGBgVJxPOT7iqxiBKUoqmHuiY+GCL883wSzyVLV3RcC55n
/vt8kuIKVQcIg87zJnSAu+P+WYT5hXdMCUmncPf0ebc/iGIbPyOdPNSZoO4/CDYVR1QJMVR8/vCo
Px0RDAJsOWydhRLsYcbRz29nn2ABW0JDVTX6js+D8H45EEfjGUYtTsjfHvL2+BlxE00IMkfrJbXm
JPhpPtCFoNKGU5uQsDzI+fAB//7Pt0cLSzqBLNd/UYZnEDS0GxUQmgc6CC9vZ59FwSBYCJYa8kti
9X5RcEbAAxDZxvOsO7wzQhAQ9kwuTWFl+oSTeVr4HyNofA0hE9BKPtQyg7p3BK1ZX1jv7AgQQZ4+
7/cEzgjHRN0LEe/n/fNAF8VLXXifRQEvRtRa0FrYPRQq0CrQBagwHGzMsH/Zyfqiybho/RU0fNgZ
yDuhPnNa6q/z5TBPiv2HghhSA2VHoLx7PojwCWMXqgyHelK8HGF7LApqsRyUDpHySzbxIdHGFxZY
lU5SdaA7g7Z3rYVNEokzBFaIlV83wZ8DJ3RdVIwbbe1QAydRINnzuCROBg2qkzI9Lwfe9/tBoNhC
9m0f6nGpP0/RfZYDsx3ipIa9xvMg8KjvB0GzFTR5Xgb8AAOn/VMq9j3I0ohqvuQRH2aC8gWtGl3A
8A51T9g/eqTshvYkvtPvT0jFovTIJMDa4XWzOMgTUtz4nluCRumR5ott/gq6YGGkqVFoOtiio/q8
Ye+xJYDto4IihuElTNi1GixRnVX/OjwOcj4I87c95wO5AmpltOteGjPvC07k1jQkiCa05/V3eLsj
UsT7DoKBrywiRjzo7rBRYD2pTwNlOdRgQUg17zkTNKosMtYnL4X4j5V48gzAsJRfD3YQ9k8g8NtC
+ZqC2kvq/GE5iOBa/IeehfgcamdG2ztuomWL9JyAeP2iHg++CwdKmV7eoYYMgi+y36IQ3Uq6EgQN
L7nUh/kAvov4mQ7+wc6E/ZsSNGaBbxEdvYDc3h+XhE+UZ2WO1KfxPrwjQt8/gBZiKji+AvZ+PiLe
jwHlV4JLU6c0d6CDoO0/CNSgWQo6Lra/GASFiUAHz3Ge04yDXRP7h5BPRVjLIix6DhF3bAw06qhO
6oc6CC83tk8cTURAFw7s60uR5X1exREhim2klYcaPH5w2vjH3SmOCGAaJh3LX0CbBDMCjBdI6OdV
c7DzYf+DAgysKdOKs5+Do4/tGfkLPwQSJySj+BzsUHxK6c0gwRS9qtdHfV91gpvNOBxs9KTvn1ch
M6bji2iYv0LHU3XCiEaY3h7ooSno8/uFkFAEAC+pMAlf9ocdmySCUSDiDrb09kEz4R9vkhrwb9a9
hofx83H5fhCeGjMUXMwXrOnhxZBC9G7PmYBuhAU2nHzhfQka+DwOAgr4xwNdB8b+O6Lo1SpgGsEu
PX0+1OHhC0GTsanV/+uD8C/Mk78IylM/iB+fqMnYzuxiMP/qF145uR9//gZA/8Q3/ek3BVX5+cuf
Yfbi///Xz8zlJ9bwm5++soifvunl718e8eOX//Rlr8/1+o+rYFtuygd/ePrB8HKj600Ct/m/Y/7r
cfMe/i8qwq//tptm/df8//3V8QnYvl7oDSebYuXfj/qRw/2vXTzZPGbl64XeXJyFs/fFJ3jh7rpx
Zure155u4k3LK6ler/Xm3pnv+18fHdHqwyslzCKq+4SLp3W5+WOaVfWur2A72/srZtv4j3VW7hx/
9p69rz+P/5hlJZPn9Vpvxp/cbe/rL0qsrHZdnJNu74sv422avl7nzY1/xnJdNcn3LH6sP15egP33
vvWjJN+WwSZ+vdTfdy9w9PtfHln518u8ufRnrNiTbbljzAVmYu+7PglSb8dGoHzGWj3dRDv2MEGr
2fu2TzdVtd01Jp+xQE+z6o//Tr1tvN01Mp+xRM82j2zAr+PwZrZ8xhI92+AmtOPan7FExbWRi9xx
6wJNuPdrPdumj9lDsGv3EhC9T7h++bB9fL3Q3+MuqKD7Xzzj3l+v8+ban7FMz7KdY/IZq5RL19ty
O+y4889YqetNvmu2fMY6XW/bzcfY0cBK9vVZ9ogdz8sNW8Drhd68zs9Yohfx5mG7I3YUTd295+EF
Cpe7gjvRot/74lcBoWMVPO4YGdH43fv615uHkpQgrXecpdpnrNLrTfrHZIvb2q4v+Iyl+vwFZbop
H3duZNpnLFrxJbNg6+16iM9YteL6C1bAQ1A97PqOz1i+4juOs03R7DqtRIvoEyZT+sdpE1R/nH8P
qnzXc3zGYhbPcbapt7uu/xnrmevXmz8mm/L7ZlfMINjhnzFSfMc03v0Nn7OwxVNMy2Z8vd2/91TB
W9z/EfzNzpxQ4Db3vzg1jJ2D/ymLOaginP+a1/t8MzCfspazeLMrehDl/v0HhsBklwO86HPvf/F6
kwZVvGmq14u9GZpPWbqizLLjHBa19r3v/mbrb3YNjWj07X/x3zqGPmkQ7hH83DTsBDuOeKEbs/+t
/95oZt97/71w8r5X/5bFO/Z5UZHfe1y+Nd93RMqi3P0/XHpXWfYvFciPxdpXdcddf/ZzLVr8xkO8
3ZT/9f8AAAD//w==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7.xml"/><Relationship Id="rId7" Type="http://schemas.microsoft.com/office/2014/relationships/chartEx" Target="../charts/chartEx3.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205740</xdr:colOff>
      <xdr:row>10</xdr:row>
      <xdr:rowOff>91440</xdr:rowOff>
    </xdr:from>
    <xdr:to>
      <xdr:col>11</xdr:col>
      <xdr:colOff>15240</xdr:colOff>
      <xdr:row>25</xdr:row>
      <xdr:rowOff>91440</xdr:rowOff>
    </xdr:to>
    <xdr:graphicFrame macro="">
      <xdr:nvGraphicFramePr>
        <xdr:cNvPr id="4" name="Chart 3">
          <a:extLst>
            <a:ext uri="{FF2B5EF4-FFF2-40B4-BE49-F238E27FC236}">
              <a16:creationId xmlns:a16="http://schemas.microsoft.com/office/drawing/2014/main" id="{E58A072E-D09C-5E71-318A-F000B06B8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657632</xdr:colOff>
      <xdr:row>12</xdr:row>
      <xdr:rowOff>74274</xdr:rowOff>
    </xdr:from>
    <xdr:to>
      <xdr:col>9</xdr:col>
      <xdr:colOff>106252</xdr:colOff>
      <xdr:row>27</xdr:row>
      <xdr:rowOff>74274</xdr:rowOff>
    </xdr:to>
    <xdr:graphicFrame macro="">
      <xdr:nvGraphicFramePr>
        <xdr:cNvPr id="2" name="Chart 1">
          <a:extLst>
            <a:ext uri="{FF2B5EF4-FFF2-40B4-BE49-F238E27FC236}">
              <a16:creationId xmlns:a16="http://schemas.microsoft.com/office/drawing/2014/main" id="{B1AE0CB5-2255-8F61-C488-D8BF440D4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228600</xdr:colOff>
      <xdr:row>6</xdr:row>
      <xdr:rowOff>72571</xdr:rowOff>
    </xdr:from>
    <xdr:to>
      <xdr:col>15</xdr:col>
      <xdr:colOff>892628</xdr:colOff>
      <xdr:row>20</xdr:row>
      <xdr:rowOff>130628</xdr:rowOff>
    </xdr:to>
    <xdr:graphicFrame macro="">
      <xdr:nvGraphicFramePr>
        <xdr:cNvPr id="4" name="Chart 3">
          <a:extLst>
            <a:ext uri="{FF2B5EF4-FFF2-40B4-BE49-F238E27FC236}">
              <a16:creationId xmlns:a16="http://schemas.microsoft.com/office/drawing/2014/main" id="{93255779-D7A1-16DC-EB87-7ABBE7B6A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417904</xdr:colOff>
      <xdr:row>29</xdr:row>
      <xdr:rowOff>82836</xdr:rowOff>
    </xdr:from>
    <xdr:to>
      <xdr:col>15</xdr:col>
      <xdr:colOff>20636</xdr:colOff>
      <xdr:row>44</xdr:row>
      <xdr:rowOff>82836</xdr:rowOff>
    </xdr:to>
    <xdr:graphicFrame macro="">
      <xdr:nvGraphicFramePr>
        <xdr:cNvPr id="3" name="Chart 2">
          <a:extLst>
            <a:ext uri="{FF2B5EF4-FFF2-40B4-BE49-F238E27FC236}">
              <a16:creationId xmlns:a16="http://schemas.microsoft.com/office/drawing/2014/main" id="{C82AC3A2-F73C-C34E-AA36-E95CB79ED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8</xdr:row>
      <xdr:rowOff>91440</xdr:rowOff>
    </xdr:from>
    <xdr:to>
      <xdr:col>10</xdr:col>
      <xdr:colOff>22860</xdr:colOff>
      <xdr:row>21</xdr:row>
      <xdr:rowOff>45720</xdr:rowOff>
    </xdr:to>
    <xdr:graphicFrame macro="">
      <xdr:nvGraphicFramePr>
        <xdr:cNvPr id="2" name="Chart 1">
          <a:extLst>
            <a:ext uri="{FF2B5EF4-FFF2-40B4-BE49-F238E27FC236}">
              <a16:creationId xmlns:a16="http://schemas.microsoft.com/office/drawing/2014/main" id="{AD1172B2-3480-C02E-CFE0-C9E8DD7B8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220980</xdr:colOff>
      <xdr:row>10</xdr:row>
      <xdr:rowOff>22860</xdr:rowOff>
    </xdr:from>
    <xdr:to>
      <xdr:col>10</xdr:col>
      <xdr:colOff>518160</xdr:colOff>
      <xdr:row>21</xdr:row>
      <xdr:rowOff>95250</xdr:rowOff>
    </xdr:to>
    <xdr:graphicFrame macro="">
      <xdr:nvGraphicFramePr>
        <xdr:cNvPr id="3" name="Chart 2">
          <a:extLst>
            <a:ext uri="{FF2B5EF4-FFF2-40B4-BE49-F238E27FC236}">
              <a16:creationId xmlns:a16="http://schemas.microsoft.com/office/drawing/2014/main" id="{E9B33BAF-16B1-4DE5-BEBF-F1F69D192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353491</xdr:colOff>
      <xdr:row>41</xdr:row>
      <xdr:rowOff>16079</xdr:rowOff>
    </xdr:from>
    <xdr:to>
      <xdr:col>24</xdr:col>
      <xdr:colOff>581491</xdr:colOff>
      <xdr:row>54</xdr:row>
      <xdr:rowOff>82169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DE620CA-EFAC-783B-C74B-3EA3D43869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004971" y="7514159"/>
              <a:ext cx="5104800" cy="2443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226017</xdr:colOff>
      <xdr:row>34</xdr:row>
      <xdr:rowOff>55536</xdr:rowOff>
    </xdr:from>
    <xdr:to>
      <xdr:col>16</xdr:col>
      <xdr:colOff>45203</xdr:colOff>
      <xdr:row>49</xdr:row>
      <xdr:rowOff>86533</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8AFEB58-1B3B-355A-01CB-DB11D5396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114997" y="6273456"/>
              <a:ext cx="4581686" cy="27741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45</xdr:row>
      <xdr:rowOff>164353</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72235" y="0"/>
          <a:ext cx="13760824" cy="8232588"/>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45</xdr:row>
      <xdr:rowOff>164353</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72235" cy="8232588"/>
        </a:xfrm>
        <a:prstGeom prst="rect">
          <a:avLst/>
        </a:prstGeom>
        <a:solidFill>
          <a:schemeClr val="accent5">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0</xdr:col>
      <xdr:colOff>134187</xdr:colOff>
      <xdr:row>0</xdr:row>
      <xdr:rowOff>85639</xdr:rowOff>
    </xdr:from>
    <xdr:to>
      <xdr:col>1</xdr:col>
      <xdr:colOff>1441355</xdr:colOff>
      <xdr:row>2</xdr:row>
      <xdr:rowOff>160268</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4187" y="85639"/>
          <a:ext cx="1530513" cy="442491"/>
        </a:xfrm>
        <a:prstGeom prst="rect">
          <a:avLst/>
        </a:prstGeom>
      </xdr:spPr>
    </xdr:pic>
    <xdr:clientData/>
  </xdr:twoCellAnchor>
  <xdr:twoCellAnchor>
    <xdr:from>
      <xdr:col>0</xdr:col>
      <xdr:colOff>32658</xdr:colOff>
      <xdr:row>4</xdr:row>
      <xdr:rowOff>14512</xdr:rowOff>
    </xdr:from>
    <xdr:to>
      <xdr:col>1</xdr:col>
      <xdr:colOff>936173</xdr:colOff>
      <xdr:row>7</xdr:row>
      <xdr:rowOff>68942</xdr:rowOff>
    </xdr:to>
    <xdr:sp macro="" textlink="KPIs!G5">
      <xdr:nvSpPr>
        <xdr:cNvPr id="5" name="Rectangle 4">
          <a:extLst>
            <a:ext uri="{FF2B5EF4-FFF2-40B4-BE49-F238E27FC236}">
              <a16:creationId xmlns:a16="http://schemas.microsoft.com/office/drawing/2014/main" id="{A9D2494C-A440-0E84-5D27-63D235E1C823}"/>
            </a:ext>
          </a:extLst>
        </xdr:cNvPr>
        <xdr:cNvSpPr/>
      </xdr:nvSpPr>
      <xdr:spPr>
        <a:xfrm>
          <a:off x="32658" y="754741"/>
          <a:ext cx="1132115" cy="609601"/>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991553E-93A2-45EA-8CA0-79B5CD1C32C7}" type="TxLink">
            <a:rPr lang="en-US"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rPr>
            <a:pPr marL="0" indent="0" algn="l"/>
            <a:t>2,400</a:t>
          </a:fld>
          <a:endParaRPr lang="en-IN"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endParaRPr>
        </a:p>
      </xdr:txBody>
    </xdr:sp>
    <xdr:clientData/>
  </xdr:twoCellAnchor>
  <xdr:twoCellAnchor>
    <xdr:from>
      <xdr:col>0</xdr:col>
      <xdr:colOff>32658</xdr:colOff>
      <xdr:row>8</xdr:row>
      <xdr:rowOff>54426</xdr:rowOff>
    </xdr:from>
    <xdr:to>
      <xdr:col>1</xdr:col>
      <xdr:colOff>1132114</xdr:colOff>
      <xdr:row>11</xdr:row>
      <xdr:rowOff>108855</xdr:rowOff>
    </xdr:to>
    <xdr:sp macro="" textlink="KPIs!I5">
      <xdr:nvSpPr>
        <xdr:cNvPr id="7" name="Rectangle 6">
          <a:extLst>
            <a:ext uri="{FF2B5EF4-FFF2-40B4-BE49-F238E27FC236}">
              <a16:creationId xmlns:a16="http://schemas.microsoft.com/office/drawing/2014/main" id="{C5BFB05D-E774-4027-9D18-87FD36761AF6}"/>
            </a:ext>
          </a:extLst>
        </xdr:cNvPr>
        <xdr:cNvSpPr/>
      </xdr:nvSpPr>
      <xdr:spPr>
        <a:xfrm>
          <a:off x="32658" y="1534883"/>
          <a:ext cx="1328056" cy="609601"/>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305F53F-A1C6-44B5-9E98-169971B22BD4}" type="TxLink">
            <a:rPr lang="en-US"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rPr>
            <a:pPr marL="0" indent="0" algn="l"/>
            <a:t>11,997</a:t>
          </a:fld>
          <a:endParaRPr lang="en-IN"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endParaRPr>
        </a:p>
      </xdr:txBody>
    </xdr:sp>
    <xdr:clientData/>
  </xdr:twoCellAnchor>
  <xdr:twoCellAnchor>
    <xdr:from>
      <xdr:col>0</xdr:col>
      <xdr:colOff>32658</xdr:colOff>
      <xdr:row>12</xdr:row>
      <xdr:rowOff>94339</xdr:rowOff>
    </xdr:from>
    <xdr:to>
      <xdr:col>1</xdr:col>
      <xdr:colOff>1208315</xdr:colOff>
      <xdr:row>15</xdr:row>
      <xdr:rowOff>148769</xdr:rowOff>
    </xdr:to>
    <xdr:sp macro="" textlink="KPIs!J5">
      <xdr:nvSpPr>
        <xdr:cNvPr id="8" name="Rectangle 7">
          <a:extLst>
            <a:ext uri="{FF2B5EF4-FFF2-40B4-BE49-F238E27FC236}">
              <a16:creationId xmlns:a16="http://schemas.microsoft.com/office/drawing/2014/main" id="{8368816C-8668-4EDB-A953-F03FA1B8D5E3}"/>
            </a:ext>
          </a:extLst>
        </xdr:cNvPr>
        <xdr:cNvSpPr/>
      </xdr:nvSpPr>
      <xdr:spPr>
        <a:xfrm>
          <a:off x="32658" y="2315025"/>
          <a:ext cx="1404257" cy="609601"/>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8FEB12B-9A57-40D1-9758-6C042B7878C3}" type="TxLink">
            <a:rPr lang="en-US"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rPr>
            <a:pPr marL="0" indent="0" algn="l"/>
            <a:t>$649.0k</a:t>
          </a:fld>
          <a:endParaRPr lang="en-IN"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endParaRPr>
        </a:p>
      </xdr:txBody>
    </xdr:sp>
    <xdr:clientData/>
  </xdr:twoCellAnchor>
  <xdr:twoCellAnchor>
    <xdr:from>
      <xdr:col>0</xdr:col>
      <xdr:colOff>32658</xdr:colOff>
      <xdr:row>16</xdr:row>
      <xdr:rowOff>134253</xdr:rowOff>
    </xdr:from>
    <xdr:to>
      <xdr:col>1</xdr:col>
      <xdr:colOff>936173</xdr:colOff>
      <xdr:row>20</xdr:row>
      <xdr:rowOff>3625</xdr:rowOff>
    </xdr:to>
    <xdr:sp macro="" textlink="KPIs!H5">
      <xdr:nvSpPr>
        <xdr:cNvPr id="9" name="Rectangle 8">
          <a:extLst>
            <a:ext uri="{FF2B5EF4-FFF2-40B4-BE49-F238E27FC236}">
              <a16:creationId xmlns:a16="http://schemas.microsoft.com/office/drawing/2014/main" id="{5C2D1BC8-979D-4AF5-9276-414C8466E1E2}"/>
            </a:ext>
          </a:extLst>
        </xdr:cNvPr>
        <xdr:cNvSpPr/>
      </xdr:nvSpPr>
      <xdr:spPr>
        <a:xfrm>
          <a:off x="32658" y="3095167"/>
          <a:ext cx="1132115" cy="609601"/>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8597722-721E-481A-B02A-7D8C4E080F8B}" type="TxLink">
            <a:rPr lang="en-US"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rPr>
            <a:pPr marL="0" indent="0" algn="l"/>
            <a:t>2.3</a:t>
          </a:fld>
          <a:endParaRPr lang="en-IN"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endParaRPr>
        </a:p>
      </xdr:txBody>
    </xdr:sp>
    <xdr:clientData/>
  </xdr:twoCellAnchor>
  <xdr:twoCellAnchor>
    <xdr:from>
      <xdr:col>0</xdr:col>
      <xdr:colOff>32658</xdr:colOff>
      <xdr:row>20</xdr:row>
      <xdr:rowOff>174170</xdr:rowOff>
    </xdr:from>
    <xdr:to>
      <xdr:col>1</xdr:col>
      <xdr:colOff>936173</xdr:colOff>
      <xdr:row>24</xdr:row>
      <xdr:rowOff>43543</xdr:rowOff>
    </xdr:to>
    <xdr:sp macro="" textlink="KPIs!K5">
      <xdr:nvSpPr>
        <xdr:cNvPr id="10" name="Rectangle 9">
          <a:extLst>
            <a:ext uri="{FF2B5EF4-FFF2-40B4-BE49-F238E27FC236}">
              <a16:creationId xmlns:a16="http://schemas.microsoft.com/office/drawing/2014/main" id="{156E4FB7-F131-457F-956D-34764AABFB81}"/>
            </a:ext>
          </a:extLst>
        </xdr:cNvPr>
        <xdr:cNvSpPr/>
      </xdr:nvSpPr>
      <xdr:spPr>
        <a:xfrm>
          <a:off x="32658" y="3875313"/>
          <a:ext cx="1132115" cy="609601"/>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DD8D8C9-F4C6-419F-B6EF-127C6EE58871}" type="TxLink">
            <a:rPr lang="en-US"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rPr>
            <a:pPr marL="0" indent="0" algn="l"/>
            <a:t>4.0</a:t>
          </a:fld>
          <a:endParaRPr lang="en-IN" sz="2800" b="1" i="0" u="none" strike="noStrike" cap="none" spc="0">
            <a:ln w="0"/>
            <a:solidFill>
              <a:schemeClr val="accent1"/>
            </a:solidFill>
            <a:effectLst>
              <a:outerShdw blurRad="38100" dist="25400" dir="5400000" algn="ctr" rotWithShape="0">
                <a:srgbClr val="6E747A">
                  <a:alpha val="43000"/>
                </a:srgbClr>
              </a:outerShdw>
            </a:effectLst>
            <a:latin typeface="Aptos Narrow"/>
            <a:ea typeface="+mn-ea"/>
            <a:cs typeface="+mn-cs"/>
          </a:endParaRPr>
        </a:p>
      </xdr:txBody>
    </xdr:sp>
    <xdr:clientData/>
  </xdr:twoCellAnchor>
  <xdr:twoCellAnchor>
    <xdr:from>
      <xdr:col>0</xdr:col>
      <xdr:colOff>32658</xdr:colOff>
      <xdr:row>2</xdr:row>
      <xdr:rowOff>163285</xdr:rowOff>
    </xdr:from>
    <xdr:to>
      <xdr:col>1</xdr:col>
      <xdr:colOff>936172</xdr:colOff>
      <xdr:row>4</xdr:row>
      <xdr:rowOff>65313</xdr:rowOff>
    </xdr:to>
    <xdr:sp macro="" textlink="">
      <xdr:nvSpPr>
        <xdr:cNvPr id="11" name="TextBox 10">
          <a:extLst>
            <a:ext uri="{FF2B5EF4-FFF2-40B4-BE49-F238E27FC236}">
              <a16:creationId xmlns:a16="http://schemas.microsoft.com/office/drawing/2014/main" id="{8346C5AC-6B11-E9BD-EC8D-47B7E8A165BE}"/>
            </a:ext>
          </a:extLst>
        </xdr:cNvPr>
        <xdr:cNvSpPr txBox="1"/>
      </xdr:nvSpPr>
      <xdr:spPr>
        <a:xfrm>
          <a:off x="32658" y="533399"/>
          <a:ext cx="113211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
          </a:r>
          <a:r>
            <a:rPr lang="en-IN" sz="1600" b="1">
              <a:solidFill>
                <a:schemeClr val="bg1"/>
              </a:solidFill>
            </a:rPr>
            <a:t>Orders</a:t>
          </a:r>
          <a:endParaRPr lang="en-IN" sz="1100" b="1">
            <a:solidFill>
              <a:schemeClr val="bg1"/>
            </a:solidFill>
          </a:endParaRPr>
        </a:p>
      </xdr:txBody>
    </xdr:sp>
    <xdr:clientData/>
  </xdr:twoCellAnchor>
  <xdr:twoCellAnchor>
    <xdr:from>
      <xdr:col>0</xdr:col>
      <xdr:colOff>32658</xdr:colOff>
      <xdr:row>7</xdr:row>
      <xdr:rowOff>18141</xdr:rowOff>
    </xdr:from>
    <xdr:to>
      <xdr:col>1</xdr:col>
      <xdr:colOff>936172</xdr:colOff>
      <xdr:row>8</xdr:row>
      <xdr:rowOff>105227</xdr:rowOff>
    </xdr:to>
    <xdr:sp macro="" textlink="">
      <xdr:nvSpPr>
        <xdr:cNvPr id="14" name="TextBox 13">
          <a:extLst>
            <a:ext uri="{FF2B5EF4-FFF2-40B4-BE49-F238E27FC236}">
              <a16:creationId xmlns:a16="http://schemas.microsoft.com/office/drawing/2014/main" id="{A8286CF0-8698-41AE-B7F4-FBF5404F1D06}"/>
            </a:ext>
          </a:extLst>
        </xdr:cNvPr>
        <xdr:cNvSpPr txBox="1"/>
      </xdr:nvSpPr>
      <xdr:spPr>
        <a:xfrm>
          <a:off x="32658" y="1313541"/>
          <a:ext cx="113211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 </a:t>
          </a:r>
          <a:r>
            <a:rPr lang="en-IN" sz="1600" b="1">
              <a:solidFill>
                <a:schemeClr val="bg1"/>
              </a:solidFill>
              <a:latin typeface="+mn-lt"/>
              <a:ea typeface="+mn-ea"/>
              <a:cs typeface="+mn-cs"/>
            </a:rPr>
            <a:t>Quantity</a:t>
          </a:r>
        </a:p>
      </xdr:txBody>
    </xdr:sp>
    <xdr:clientData/>
  </xdr:twoCellAnchor>
  <xdr:twoCellAnchor>
    <xdr:from>
      <xdr:col>0</xdr:col>
      <xdr:colOff>32658</xdr:colOff>
      <xdr:row>11</xdr:row>
      <xdr:rowOff>58054</xdr:rowOff>
    </xdr:from>
    <xdr:to>
      <xdr:col>1</xdr:col>
      <xdr:colOff>936172</xdr:colOff>
      <xdr:row>12</xdr:row>
      <xdr:rowOff>145140</xdr:rowOff>
    </xdr:to>
    <xdr:sp macro="" textlink="">
      <xdr:nvSpPr>
        <xdr:cNvPr id="15" name="TextBox 14">
          <a:extLst>
            <a:ext uri="{FF2B5EF4-FFF2-40B4-BE49-F238E27FC236}">
              <a16:creationId xmlns:a16="http://schemas.microsoft.com/office/drawing/2014/main" id="{125687E0-84FE-4F58-8BA2-DD24E10B1D6E}"/>
            </a:ext>
          </a:extLst>
        </xdr:cNvPr>
        <xdr:cNvSpPr txBox="1"/>
      </xdr:nvSpPr>
      <xdr:spPr>
        <a:xfrm>
          <a:off x="32658" y="2093683"/>
          <a:ext cx="113211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
          </a:r>
          <a:r>
            <a:rPr lang="en-IN" sz="1100" b="1" baseline="0"/>
            <a:t> </a:t>
          </a:r>
          <a:r>
            <a:rPr lang="en-IN" sz="1600" b="1">
              <a:solidFill>
                <a:schemeClr val="bg1"/>
              </a:solidFill>
              <a:latin typeface="+mn-lt"/>
              <a:ea typeface="+mn-ea"/>
              <a:cs typeface="+mn-cs"/>
            </a:rPr>
            <a:t>Amount</a:t>
          </a:r>
        </a:p>
        <a:p>
          <a:endParaRPr lang="en-IN" sz="1100" b="1">
            <a:solidFill>
              <a:schemeClr val="bg1"/>
            </a:solidFill>
          </a:endParaRPr>
        </a:p>
      </xdr:txBody>
    </xdr:sp>
    <xdr:clientData/>
  </xdr:twoCellAnchor>
  <xdr:twoCellAnchor>
    <xdr:from>
      <xdr:col>0</xdr:col>
      <xdr:colOff>32657</xdr:colOff>
      <xdr:row>15</xdr:row>
      <xdr:rowOff>97968</xdr:rowOff>
    </xdr:from>
    <xdr:to>
      <xdr:col>2</xdr:col>
      <xdr:colOff>174170</xdr:colOff>
      <xdr:row>16</xdr:row>
      <xdr:rowOff>174172</xdr:rowOff>
    </xdr:to>
    <xdr:sp macro="" textlink="">
      <xdr:nvSpPr>
        <xdr:cNvPr id="16" name="TextBox 15">
          <a:extLst>
            <a:ext uri="{FF2B5EF4-FFF2-40B4-BE49-F238E27FC236}">
              <a16:creationId xmlns:a16="http://schemas.microsoft.com/office/drawing/2014/main" id="{C08BAC2F-9AD9-47C1-96F0-3E8A0B69764C}"/>
            </a:ext>
          </a:extLst>
        </xdr:cNvPr>
        <xdr:cNvSpPr txBox="1"/>
      </xdr:nvSpPr>
      <xdr:spPr>
        <a:xfrm>
          <a:off x="32657" y="2873825"/>
          <a:ext cx="1894113" cy="261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 </a:t>
          </a:r>
          <a:r>
            <a:rPr lang="en-IN" sz="1600" b="1">
              <a:solidFill>
                <a:schemeClr val="bg1"/>
              </a:solidFill>
              <a:latin typeface="+mn-lt"/>
              <a:ea typeface="+mn-ea"/>
              <a:cs typeface="+mn-cs"/>
            </a:rPr>
            <a:t>Days to deliver</a:t>
          </a:r>
        </a:p>
      </xdr:txBody>
    </xdr:sp>
    <xdr:clientData/>
  </xdr:twoCellAnchor>
  <xdr:twoCellAnchor>
    <xdr:from>
      <xdr:col>0</xdr:col>
      <xdr:colOff>32657</xdr:colOff>
      <xdr:row>19</xdr:row>
      <xdr:rowOff>137881</xdr:rowOff>
    </xdr:from>
    <xdr:to>
      <xdr:col>1</xdr:col>
      <xdr:colOff>1415142</xdr:colOff>
      <xdr:row>21</xdr:row>
      <xdr:rowOff>43543</xdr:rowOff>
    </xdr:to>
    <xdr:sp macro="" textlink="">
      <xdr:nvSpPr>
        <xdr:cNvPr id="17" name="TextBox 16">
          <a:extLst>
            <a:ext uri="{FF2B5EF4-FFF2-40B4-BE49-F238E27FC236}">
              <a16:creationId xmlns:a16="http://schemas.microsoft.com/office/drawing/2014/main" id="{4BFAA63D-FC30-4304-B1ED-85FFA57CB1E7}"/>
            </a:ext>
          </a:extLst>
        </xdr:cNvPr>
        <xdr:cNvSpPr txBox="1"/>
      </xdr:nvSpPr>
      <xdr:spPr>
        <a:xfrm>
          <a:off x="32657" y="3653967"/>
          <a:ext cx="1611085" cy="27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 </a:t>
          </a:r>
          <a:r>
            <a:rPr lang="en-IN" sz="1600" b="1">
              <a:solidFill>
                <a:schemeClr val="bg1"/>
              </a:solidFill>
              <a:latin typeface="+mn-lt"/>
              <a:ea typeface="+mn-ea"/>
              <a:cs typeface="+mn-cs"/>
            </a:rPr>
            <a:t>Avg</a:t>
          </a:r>
          <a:r>
            <a:rPr lang="en-IN" sz="1100" b="1">
              <a:solidFill>
                <a:schemeClr val="bg1"/>
              </a:solidFill>
            </a:rPr>
            <a:t>.</a:t>
          </a:r>
          <a:r>
            <a:rPr lang="en-IN" sz="1100" b="1" baseline="0">
              <a:solidFill>
                <a:schemeClr val="bg1"/>
              </a:solidFill>
            </a:rPr>
            <a:t> </a:t>
          </a:r>
          <a:r>
            <a:rPr lang="en-IN" sz="1600" b="1">
              <a:solidFill>
                <a:schemeClr val="bg1"/>
              </a:solidFill>
              <a:latin typeface="+mn-lt"/>
              <a:ea typeface="+mn-ea"/>
              <a:cs typeface="+mn-cs"/>
            </a:rPr>
            <a:t>Rating</a:t>
          </a:r>
        </a:p>
      </xdr:txBody>
    </xdr:sp>
    <xdr:clientData/>
  </xdr:twoCellAnchor>
  <xdr:twoCellAnchor>
    <xdr:from>
      <xdr:col>11</xdr:col>
      <xdr:colOff>583860</xdr:colOff>
      <xdr:row>1</xdr:row>
      <xdr:rowOff>130629</xdr:rowOff>
    </xdr:from>
    <xdr:to>
      <xdr:col>19</xdr:col>
      <xdr:colOff>91053</xdr:colOff>
      <xdr:row>16</xdr:row>
      <xdr:rowOff>0</xdr:rowOff>
    </xdr:to>
    <xdr:sp macro="" textlink="">
      <xdr:nvSpPr>
        <xdr:cNvPr id="21" name="Rectangle 20">
          <a:extLst>
            <a:ext uri="{FF2B5EF4-FFF2-40B4-BE49-F238E27FC236}">
              <a16:creationId xmlns:a16="http://schemas.microsoft.com/office/drawing/2014/main" id="{B2F8F382-0578-5374-8CC8-24AD457F5BE6}"/>
            </a:ext>
          </a:extLst>
        </xdr:cNvPr>
        <xdr:cNvSpPr/>
      </xdr:nvSpPr>
      <xdr:spPr>
        <a:xfrm>
          <a:off x="7060860" y="315686"/>
          <a:ext cx="4667022" cy="26452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12</xdr:col>
          <xdr:colOff>228600</xdr:colOff>
          <xdr:row>3</xdr:row>
          <xdr:rowOff>60960</xdr:rowOff>
        </xdr:from>
        <xdr:to>
          <xdr:col>18</xdr:col>
          <xdr:colOff>881743</xdr:colOff>
          <xdr:row>15</xdr:row>
          <xdr:rowOff>65313</xdr:rowOff>
        </xdr:to>
        <xdr:pic>
          <xdr:nvPicPr>
            <xdr:cNvPr id="19" name="Picture 18">
              <a:extLst>
                <a:ext uri="{FF2B5EF4-FFF2-40B4-BE49-F238E27FC236}">
                  <a16:creationId xmlns:a16="http://schemas.microsoft.com/office/drawing/2014/main" id="{7C391494-A0CE-87A0-C3AD-064E11ECC4C2}"/>
                </a:ext>
              </a:extLst>
            </xdr:cNvPr>
            <xdr:cNvPicPr>
              <a:picLocks noChangeAspect="1" noChangeArrowheads="1"/>
              <a:extLst>
                <a:ext uri="{84589F7E-364E-4C9E-8A38-B11213B215E9}">
                  <a14:cameraTool cellRange="Sheet2!$H$4:$L$9" spid="_x0000_s1062"/>
                </a:ext>
              </a:extLst>
            </xdr:cNvPicPr>
          </xdr:nvPicPr>
          <xdr:blipFill>
            <a:blip xmlns:r="http://schemas.openxmlformats.org/officeDocument/2006/relationships" r:embed="rId2"/>
            <a:srcRect/>
            <a:stretch>
              <a:fillRect/>
            </a:stretch>
          </xdr:blipFill>
          <xdr:spPr bwMode="auto">
            <a:xfrm>
              <a:off x="7330440" y="609600"/>
              <a:ext cx="4310743" cy="21989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0</xdr:colOff>
      <xdr:row>1</xdr:row>
      <xdr:rowOff>130629</xdr:rowOff>
    </xdr:from>
    <xdr:to>
      <xdr:col>11</xdr:col>
      <xdr:colOff>342296</xdr:colOff>
      <xdr:row>16</xdr:row>
      <xdr:rowOff>0</xdr:rowOff>
    </xdr:to>
    <xdr:graphicFrame macro="">
      <xdr:nvGraphicFramePr>
        <xdr:cNvPr id="20" name="Chart 19">
          <a:extLst>
            <a:ext uri="{FF2B5EF4-FFF2-40B4-BE49-F238E27FC236}">
              <a16:creationId xmlns:a16="http://schemas.microsoft.com/office/drawing/2014/main" id="{721E86F1-DFFF-4DEA-8EA3-891E5E5E3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177217</xdr:colOff>
      <xdr:row>1</xdr:row>
      <xdr:rowOff>119742</xdr:rowOff>
    </xdr:from>
    <xdr:to>
      <xdr:col>25</xdr:col>
      <xdr:colOff>497698</xdr:colOff>
      <xdr:row>16</xdr:row>
      <xdr:rowOff>65313</xdr:rowOff>
    </xdr:to>
    <xdr:graphicFrame macro="">
      <xdr:nvGraphicFramePr>
        <xdr:cNvPr id="6" name="Chart 5">
          <a:extLst>
            <a:ext uri="{FF2B5EF4-FFF2-40B4-BE49-F238E27FC236}">
              <a16:creationId xmlns:a16="http://schemas.microsoft.com/office/drawing/2014/main" id="{5A935DAC-91F8-4681-9E53-3493FAB64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17</xdr:row>
      <xdr:rowOff>91354</xdr:rowOff>
    </xdr:from>
    <xdr:to>
      <xdr:col>11</xdr:col>
      <xdr:colOff>258589</xdr:colOff>
      <xdr:row>44</xdr:row>
      <xdr:rowOff>89647</xdr:rowOff>
    </xdr:to>
    <xdr:graphicFrame macro="">
      <xdr:nvGraphicFramePr>
        <xdr:cNvPr id="13" name="Chart 12">
          <a:extLst>
            <a:ext uri="{FF2B5EF4-FFF2-40B4-BE49-F238E27FC236}">
              <a16:creationId xmlns:a16="http://schemas.microsoft.com/office/drawing/2014/main" id="{F99D2198-0889-4902-AB33-E13530A7D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429296</xdr:colOff>
      <xdr:row>30</xdr:row>
      <xdr:rowOff>68580</xdr:rowOff>
    </xdr:from>
    <xdr:to>
      <xdr:col>9</xdr:col>
      <xdr:colOff>268310</xdr:colOff>
      <xdr:row>40</xdr:row>
      <xdr:rowOff>67184</xdr:rowOff>
    </xdr:to>
    <xdr:graphicFrame macro="">
      <xdr:nvGraphicFramePr>
        <xdr:cNvPr id="23" name="Chart 22">
          <a:extLst>
            <a:ext uri="{FF2B5EF4-FFF2-40B4-BE49-F238E27FC236}">
              <a16:creationId xmlns:a16="http://schemas.microsoft.com/office/drawing/2014/main" id="{6B8744B9-377D-42C5-A1ED-16C7CDBEB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29882</xdr:colOff>
      <xdr:row>18</xdr:row>
      <xdr:rowOff>14940</xdr:rowOff>
    </xdr:from>
    <xdr:to>
      <xdr:col>19</xdr:col>
      <xdr:colOff>194236</xdr:colOff>
      <xdr:row>44</xdr:row>
      <xdr:rowOff>119530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5784D71B-F63E-40F8-811C-B7605C6B9F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16482" y="3306780"/>
              <a:ext cx="4713494" cy="4859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44824</xdr:colOff>
      <xdr:row>23</xdr:row>
      <xdr:rowOff>16004</xdr:rowOff>
    </xdr:from>
    <xdr:to>
      <xdr:col>19</xdr:col>
      <xdr:colOff>134469</xdr:colOff>
      <xdr:row>32</xdr:row>
      <xdr:rowOff>59764</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66F7B9C5-F955-45FB-82A3-13D0861593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79424" y="4222244"/>
              <a:ext cx="1590785" cy="1689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xdr:colOff>
      <xdr:row>18</xdr:row>
      <xdr:rowOff>29883</xdr:rowOff>
    </xdr:from>
    <xdr:to>
      <xdr:col>25</xdr:col>
      <xdr:colOff>537884</xdr:colOff>
      <xdr:row>33</xdr:row>
      <xdr:rowOff>37437</xdr:rowOff>
    </xdr:to>
    <xdr:graphicFrame macro="">
      <xdr:nvGraphicFramePr>
        <xdr:cNvPr id="12" name="Chart 11">
          <a:extLst>
            <a:ext uri="{FF2B5EF4-FFF2-40B4-BE49-F238E27FC236}">
              <a16:creationId xmlns:a16="http://schemas.microsoft.com/office/drawing/2014/main" id="{A221EFD9-126F-4153-A799-A5B360FFD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0</xdr:colOff>
      <xdr:row>33</xdr:row>
      <xdr:rowOff>164353</xdr:rowOff>
    </xdr:from>
    <xdr:to>
      <xdr:col>25</xdr:col>
      <xdr:colOff>582706</xdr:colOff>
      <xdr:row>44</xdr:row>
      <xdr:rowOff>59765</xdr:rowOff>
    </xdr:to>
    <xdr:graphicFrame macro="">
      <xdr:nvGraphicFramePr>
        <xdr:cNvPr id="18" name="Chart 17">
          <a:extLst>
            <a:ext uri="{FF2B5EF4-FFF2-40B4-BE49-F238E27FC236}">
              <a16:creationId xmlns:a16="http://schemas.microsoft.com/office/drawing/2014/main" id="{544806F0-E777-402B-AA29-33E15CFF0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69907</xdr:colOff>
      <xdr:row>25</xdr:row>
      <xdr:rowOff>25400</xdr:rowOff>
    </xdr:from>
    <xdr:to>
      <xdr:col>1</xdr:col>
      <xdr:colOff>1358900</xdr:colOff>
      <xdr:row>35</xdr:row>
      <xdr:rowOff>88900</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9F0BF90A-FA4B-8B78-753A-F313F302B82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04369" y="4714631"/>
              <a:ext cx="1288993" cy="1939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76541</xdr:colOff>
      <xdr:row>35</xdr:row>
      <xdr:rowOff>144439</xdr:rowOff>
    </xdr:from>
    <xdr:to>
      <xdr:col>1</xdr:col>
      <xdr:colOff>1346200</xdr:colOff>
      <xdr:row>44</xdr:row>
      <xdr:rowOff>25400</xdr:rowOff>
    </xdr:to>
    <mc:AlternateContent xmlns:mc="http://schemas.openxmlformats.org/markup-compatibility/2006" xmlns:a14="http://schemas.microsoft.com/office/drawing/2010/main">
      <mc:Choice Requires="a14">
        <xdr:graphicFrame macro="">
          <xdr:nvGraphicFramePr>
            <xdr:cNvPr id="26" name="Gender Value">
              <a:extLst>
                <a:ext uri="{FF2B5EF4-FFF2-40B4-BE49-F238E27FC236}">
                  <a16:creationId xmlns:a16="http://schemas.microsoft.com/office/drawing/2014/main" id="{B56505F4-D4D9-2157-F9A5-D4B63753B348}"/>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311003" y="6709362"/>
              <a:ext cx="1269659" cy="1569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za" refreshedDate="46119.423317939814" createdVersion="8" refreshedVersion="8" minRefreshableVersion="3" recordCount="2400" xr:uid="{63FE1D18-CC5E-4614-860D-E508D9184243}">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ntainsBlank="1" count="5">
        <s v=""/>
        <s v="M"/>
        <s v="F"/>
        <s v="O"/>
        <m/>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3558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x v="0"/>
    <x v="0"/>
    <x v="0"/>
    <x v="0"/>
    <x v="0"/>
    <x v="0"/>
    <x v="0"/>
    <x v="0"/>
  </r>
  <r>
    <s v="TX500002"/>
    <x v="1"/>
    <x v="1"/>
    <n v="30.6"/>
    <n v="61.2"/>
    <d v="2025-01-01T00:00:00"/>
    <d v="2025-01-03T00:00:00"/>
    <x v="1"/>
    <x v="0"/>
    <x v="0"/>
    <x v="0"/>
    <x v="1"/>
    <x v="1"/>
    <x v="0"/>
    <x v="1"/>
  </r>
  <r>
    <s v="TX500003"/>
    <x v="2"/>
    <x v="2"/>
    <n v="109.4"/>
    <n v="328.20000000000005"/>
    <d v="2025-01-01T00:00:00"/>
    <d v="2025-01-04T00:00:00"/>
    <x v="2"/>
    <x v="0"/>
    <x v="1"/>
    <x v="0"/>
    <x v="2"/>
    <x v="2"/>
    <x v="0"/>
    <x v="2"/>
  </r>
  <r>
    <s v="TX500004"/>
    <x v="3"/>
    <x v="3"/>
    <n v="37.700000000000003"/>
    <n v="263.90000000000003"/>
    <d v="2025-01-01T00:00:00"/>
    <d v="2025-01-02T00:00:00"/>
    <x v="2"/>
    <x v="0"/>
    <x v="0"/>
    <x v="0"/>
    <x v="2"/>
    <x v="3"/>
    <x v="0"/>
    <x v="2"/>
  </r>
  <r>
    <s v="TX500005"/>
    <x v="4"/>
    <x v="2"/>
    <n v="56.7"/>
    <n v="170.10000000000002"/>
    <d v="2025-01-01T00:00:00"/>
    <d v="2025-01-04T00:00:00"/>
    <x v="2"/>
    <x v="0"/>
    <x v="2"/>
    <x v="0"/>
    <x v="3"/>
    <x v="2"/>
    <x v="0"/>
    <x v="2"/>
  </r>
  <r>
    <s v="TX500006"/>
    <x v="1"/>
    <x v="4"/>
    <n v="83.5"/>
    <n v="1002"/>
    <d v="2025-01-01T00:00:00"/>
    <d v="2025-01-04T00:00:00"/>
    <x v="1"/>
    <x v="1"/>
    <x v="0"/>
    <x v="0"/>
    <x v="3"/>
    <x v="2"/>
    <x v="0"/>
    <x v="1"/>
  </r>
  <r>
    <s v="TX500007"/>
    <x v="5"/>
    <x v="0"/>
    <n v="55.3"/>
    <n v="55.3"/>
    <d v="2025-01-01T00:00:00"/>
    <d v="2025-01-02T00:00:00"/>
    <x v="2"/>
    <x v="0"/>
    <x v="0"/>
    <x v="0"/>
    <x v="3"/>
    <x v="3"/>
    <x v="0"/>
    <x v="2"/>
  </r>
  <r>
    <s v="TX500008"/>
    <x v="6"/>
    <x v="1"/>
    <n v="40.299999999999997"/>
    <n v="80.599999999999994"/>
    <d v="2025-01-01T00:00:00"/>
    <d v="2025-01-02T00:00:00"/>
    <x v="1"/>
    <x v="2"/>
    <x v="2"/>
    <x v="0"/>
    <x v="3"/>
    <x v="3"/>
    <x v="0"/>
    <x v="1"/>
  </r>
  <r>
    <s v="TX500009"/>
    <x v="7"/>
    <x v="5"/>
    <n v="35.700000000000003"/>
    <n v="392.70000000000005"/>
    <d v="2025-01-01T00:00:00"/>
    <d v="2025-01-02T00:00:00"/>
    <x v="2"/>
    <x v="0"/>
    <x v="0"/>
    <x v="0"/>
    <x v="3"/>
    <x v="3"/>
    <x v="0"/>
    <x v="2"/>
  </r>
  <r>
    <s v="TX500010"/>
    <x v="8"/>
    <x v="3"/>
    <n v="22.4"/>
    <n v="156.79999999999998"/>
    <d v="2025-01-01T00:00:00"/>
    <d v="2025-01-04T00:00:00"/>
    <x v="1"/>
    <x v="0"/>
    <x v="1"/>
    <x v="0"/>
    <x v="3"/>
    <x v="2"/>
    <x v="0"/>
    <x v="1"/>
  </r>
  <r>
    <s v="TX500011"/>
    <x v="9"/>
    <x v="1"/>
    <n v="54.4"/>
    <n v="108.8"/>
    <d v="2025-01-01T00:00:00"/>
    <d v="2025-01-07T00:00:00"/>
    <x v="2"/>
    <x v="0"/>
    <x v="0"/>
    <x v="0"/>
    <x v="3"/>
    <x v="4"/>
    <x v="0"/>
    <x v="2"/>
  </r>
  <r>
    <s v="TX500012"/>
    <x v="9"/>
    <x v="1"/>
    <n v="49"/>
    <n v="98"/>
    <d v="2025-01-01T00:00:00"/>
    <d v="2025-01-03T00:00:00"/>
    <x v="2"/>
    <x v="2"/>
    <x v="1"/>
    <x v="0"/>
    <x v="3"/>
    <x v="1"/>
    <x v="0"/>
    <x v="2"/>
  </r>
  <r>
    <s v="TX500013"/>
    <x v="5"/>
    <x v="3"/>
    <n v="118.6"/>
    <n v="830.19999999999993"/>
    <d v="2025-01-01T00:00:00"/>
    <d v="2025-01-05T00:00:00"/>
    <x v="2"/>
    <x v="1"/>
    <x v="0"/>
    <x v="0"/>
    <x v="4"/>
    <x v="5"/>
    <x v="0"/>
    <x v="2"/>
  </r>
  <r>
    <s v="TX500014"/>
    <x v="6"/>
    <x v="6"/>
    <n v="88.4"/>
    <n v="2386.8000000000002"/>
    <d v="2025-01-01T00:00:00"/>
    <d v="2025-01-08T00:00:00"/>
    <x v="1"/>
    <x v="3"/>
    <x v="0"/>
    <x v="0"/>
    <x v="5"/>
    <x v="6"/>
    <x v="0"/>
    <x v="1"/>
  </r>
  <r>
    <s v="TX500015"/>
    <x v="10"/>
    <x v="0"/>
    <n v="66.7"/>
    <n v="66.7"/>
    <d v="2025-01-01T00:00:00"/>
    <d v="2025-01-04T00:00:00"/>
    <x v="1"/>
    <x v="0"/>
    <x v="0"/>
    <x v="0"/>
    <x v="6"/>
    <x v="2"/>
    <x v="0"/>
    <x v="1"/>
  </r>
  <r>
    <s v="TX500016"/>
    <x v="9"/>
    <x v="7"/>
    <n v="30.9"/>
    <n v="309"/>
    <d v="2025-01-01T00:00:00"/>
    <d v="2025-01-02T00:00:00"/>
    <x v="1"/>
    <x v="1"/>
    <x v="2"/>
    <x v="0"/>
    <x v="6"/>
    <x v="3"/>
    <x v="0"/>
    <x v="1"/>
  </r>
  <r>
    <s v="TX500017"/>
    <x v="4"/>
    <x v="2"/>
    <n v="31.1"/>
    <n v="93.300000000000011"/>
    <d v="2025-01-01T00:00:00"/>
    <d v="2025-01-02T00:00:00"/>
    <x v="2"/>
    <x v="0"/>
    <x v="1"/>
    <x v="0"/>
    <x v="6"/>
    <x v="3"/>
    <x v="0"/>
    <x v="2"/>
  </r>
  <r>
    <s v="TX500018"/>
    <x v="7"/>
    <x v="2"/>
    <n v="36.6"/>
    <n v="109.80000000000001"/>
    <d v="2025-01-01T00:00:00"/>
    <d v="2025-01-04T00:00:00"/>
    <x v="2"/>
    <x v="0"/>
    <x v="0"/>
    <x v="0"/>
    <x v="7"/>
    <x v="2"/>
    <x v="0"/>
    <x v="2"/>
  </r>
  <r>
    <s v="TX500019"/>
    <x v="6"/>
    <x v="8"/>
    <n v="51.1"/>
    <n v="408.8"/>
    <d v="2025-01-01T00:00:00"/>
    <d v="2025-01-04T00:00:00"/>
    <x v="2"/>
    <x v="2"/>
    <x v="3"/>
    <x v="0"/>
    <x v="7"/>
    <x v="2"/>
    <x v="0"/>
    <x v="2"/>
  </r>
  <r>
    <s v="TX500020"/>
    <x v="9"/>
    <x v="0"/>
    <n v="25.2"/>
    <n v="25.2"/>
    <d v="2025-01-01T00:00:00"/>
    <d v="2025-01-02T00:00:00"/>
    <x v="2"/>
    <x v="1"/>
    <x v="2"/>
    <x v="0"/>
    <x v="8"/>
    <x v="3"/>
    <x v="0"/>
    <x v="2"/>
  </r>
  <r>
    <s v="TX500021"/>
    <x v="9"/>
    <x v="9"/>
    <n v="43.8"/>
    <n v="219"/>
    <d v="2025-01-01T00:00:00"/>
    <d v="2025-01-04T00:00:00"/>
    <x v="2"/>
    <x v="2"/>
    <x v="0"/>
    <x v="0"/>
    <x v="8"/>
    <x v="2"/>
    <x v="0"/>
    <x v="2"/>
  </r>
  <r>
    <s v="TX500022"/>
    <x v="8"/>
    <x v="4"/>
    <n v="46.7"/>
    <n v="560.40000000000009"/>
    <d v="2025-01-01T00:00:00"/>
    <d v="2025-01-02T00:00:00"/>
    <x v="2"/>
    <x v="1"/>
    <x v="1"/>
    <x v="0"/>
    <x v="8"/>
    <x v="3"/>
    <x v="0"/>
    <x v="2"/>
  </r>
  <r>
    <s v="TX500023"/>
    <x v="3"/>
    <x v="10"/>
    <n v="79.900000000000006"/>
    <n v="1518.1000000000001"/>
    <d v="2025-01-01T00:00:00"/>
    <d v="2025-01-02T00:00:00"/>
    <x v="1"/>
    <x v="0"/>
    <x v="2"/>
    <x v="0"/>
    <x v="8"/>
    <x v="3"/>
    <x v="0"/>
    <x v="1"/>
  </r>
  <r>
    <s v="TX500024"/>
    <x v="11"/>
    <x v="8"/>
    <n v="26.4"/>
    <n v="211.2"/>
    <d v="2025-01-01T00:00:00"/>
    <d v="2025-01-02T00:00:00"/>
    <x v="2"/>
    <x v="3"/>
    <x v="0"/>
    <x v="0"/>
    <x v="8"/>
    <x v="3"/>
    <x v="0"/>
    <x v="2"/>
  </r>
  <r>
    <s v="TX500025"/>
    <x v="12"/>
    <x v="8"/>
    <n v="88.8"/>
    <n v="710.4"/>
    <d v="2025-01-01T00:00:00"/>
    <d v="2025-01-02T00:00:00"/>
    <x v="2"/>
    <x v="4"/>
    <x v="0"/>
    <x v="0"/>
    <x v="8"/>
    <x v="3"/>
    <x v="0"/>
    <x v="2"/>
  </r>
  <r>
    <s v="TX500026"/>
    <x v="0"/>
    <x v="7"/>
    <n v="17.5"/>
    <n v="175"/>
    <d v="2025-01-01T00:00:00"/>
    <d v="2025-01-02T00:00:00"/>
    <x v="2"/>
    <x v="2"/>
    <x v="0"/>
    <x v="0"/>
    <x v="9"/>
    <x v="3"/>
    <x v="0"/>
    <x v="2"/>
  </r>
  <r>
    <s v="TX500027"/>
    <x v="1"/>
    <x v="11"/>
    <n v="38.700000000000003"/>
    <n v="348.3"/>
    <d v="2025-01-01T00:00:00"/>
    <d v="2025-01-04T00:00:00"/>
    <x v="1"/>
    <x v="1"/>
    <x v="0"/>
    <x v="0"/>
    <x v="10"/>
    <x v="2"/>
    <x v="0"/>
    <x v="1"/>
  </r>
  <r>
    <s v="TX500028"/>
    <x v="13"/>
    <x v="12"/>
    <n v="57.2"/>
    <n v="228.8"/>
    <d v="2025-01-01T00:00:00"/>
    <d v="2025-01-03T00:00:00"/>
    <x v="0"/>
    <x v="1"/>
    <x v="2"/>
    <x v="0"/>
    <x v="11"/>
    <x v="1"/>
    <x v="0"/>
    <x v="0"/>
  </r>
  <r>
    <s v="TX500029"/>
    <x v="6"/>
    <x v="9"/>
    <n v="50.9"/>
    <n v="254.5"/>
    <d v="2025-01-01T00:00:00"/>
    <d v="2025-01-07T00:00:00"/>
    <x v="0"/>
    <x v="1"/>
    <x v="2"/>
    <x v="0"/>
    <x v="12"/>
    <x v="4"/>
    <x v="0"/>
    <x v="0"/>
  </r>
  <r>
    <s v="TX500030"/>
    <x v="14"/>
    <x v="3"/>
    <n v="41"/>
    <n v="287"/>
    <d v="2025-01-01T00:00:00"/>
    <d v="2025-01-05T00:00:00"/>
    <x v="2"/>
    <x v="1"/>
    <x v="0"/>
    <x v="0"/>
    <x v="13"/>
    <x v="5"/>
    <x v="0"/>
    <x v="2"/>
  </r>
  <r>
    <s v="TX500031"/>
    <x v="8"/>
    <x v="3"/>
    <n v="19.100000000000001"/>
    <n v="133.70000000000002"/>
    <d v="2025-01-01T00:00:00"/>
    <d v="2025-01-05T00:00:00"/>
    <x v="1"/>
    <x v="0"/>
    <x v="2"/>
    <x v="0"/>
    <x v="14"/>
    <x v="5"/>
    <x v="0"/>
    <x v="1"/>
  </r>
  <r>
    <s v="TX500032"/>
    <x v="2"/>
    <x v="9"/>
    <n v="166.1"/>
    <n v="830.5"/>
    <d v="2025-01-01T00:00:00"/>
    <d v="2025-01-04T00:00:00"/>
    <x v="1"/>
    <x v="0"/>
    <x v="0"/>
    <x v="0"/>
    <x v="15"/>
    <x v="2"/>
    <x v="0"/>
    <x v="1"/>
  </r>
  <r>
    <s v="TX500033"/>
    <x v="4"/>
    <x v="2"/>
    <n v="29.9"/>
    <n v="89.699999999999989"/>
    <d v="2025-01-01T00:00:00"/>
    <d v="2025-01-02T00:00:00"/>
    <x v="1"/>
    <x v="3"/>
    <x v="0"/>
    <x v="0"/>
    <x v="3"/>
    <x v="3"/>
    <x v="0"/>
    <x v="1"/>
  </r>
  <r>
    <s v="TX500034"/>
    <x v="10"/>
    <x v="13"/>
    <n v="21.7"/>
    <n v="130.19999999999999"/>
    <d v="2025-01-01T00:00:00"/>
    <d v="2025-01-03T00:00:00"/>
    <x v="3"/>
    <x v="2"/>
    <x v="2"/>
    <x v="0"/>
    <x v="3"/>
    <x v="1"/>
    <x v="0"/>
    <x v="3"/>
  </r>
  <r>
    <s v="TX500035"/>
    <x v="11"/>
    <x v="1"/>
    <n v="32"/>
    <n v="64"/>
    <d v="2025-01-01T00:00:00"/>
    <d v="2025-01-04T00:00:00"/>
    <x v="1"/>
    <x v="0"/>
    <x v="2"/>
    <x v="0"/>
    <x v="3"/>
    <x v="2"/>
    <x v="0"/>
    <x v="1"/>
  </r>
  <r>
    <s v="TX500036"/>
    <x v="8"/>
    <x v="1"/>
    <n v="15.8"/>
    <n v="31.6"/>
    <d v="2025-01-01T00:00:00"/>
    <d v="2025-01-02T00:00:00"/>
    <x v="1"/>
    <x v="4"/>
    <x v="2"/>
    <x v="0"/>
    <x v="3"/>
    <x v="3"/>
    <x v="0"/>
    <x v="1"/>
  </r>
  <r>
    <s v="TX500037"/>
    <x v="2"/>
    <x v="14"/>
    <n v="203.1"/>
    <n v="3452.7"/>
    <d v="2025-01-01T00:00:00"/>
    <d v="2025-01-05T00:00:00"/>
    <x v="1"/>
    <x v="3"/>
    <x v="1"/>
    <x v="0"/>
    <x v="3"/>
    <x v="5"/>
    <x v="0"/>
    <x v="1"/>
  </r>
  <r>
    <s v="TX500038"/>
    <x v="7"/>
    <x v="15"/>
    <n v="39"/>
    <n v="507"/>
    <d v="2025-01-01T00:00:00"/>
    <d v="2025-01-07T00:00:00"/>
    <x v="1"/>
    <x v="0"/>
    <x v="2"/>
    <x v="0"/>
    <x v="3"/>
    <x v="4"/>
    <x v="0"/>
    <x v="1"/>
  </r>
  <r>
    <s v="TX500039"/>
    <x v="10"/>
    <x v="0"/>
    <n v="26.5"/>
    <n v="26.5"/>
    <d v="2025-01-02T00:00:00"/>
    <d v="2025-01-03T00:00:00"/>
    <x v="1"/>
    <x v="2"/>
    <x v="0"/>
    <x v="0"/>
    <x v="3"/>
    <x v="3"/>
    <x v="0"/>
    <x v="1"/>
  </r>
  <r>
    <s v="TX500040"/>
    <x v="5"/>
    <x v="0"/>
    <n v="43.1"/>
    <n v="43.1"/>
    <d v="2025-01-02T00:00:00"/>
    <d v="2025-01-03T00:00:00"/>
    <x v="2"/>
    <x v="2"/>
    <x v="1"/>
    <x v="0"/>
    <x v="3"/>
    <x v="3"/>
    <x v="0"/>
    <x v="2"/>
  </r>
  <r>
    <s v="TX500041"/>
    <x v="1"/>
    <x v="2"/>
    <n v="139"/>
    <n v="417"/>
    <d v="2025-01-02T00:00:00"/>
    <d v="2025-01-03T00:00:00"/>
    <x v="2"/>
    <x v="4"/>
    <x v="2"/>
    <x v="0"/>
    <x v="3"/>
    <x v="3"/>
    <x v="0"/>
    <x v="2"/>
  </r>
  <r>
    <s v="TX500042"/>
    <x v="12"/>
    <x v="0"/>
    <n v="80.7"/>
    <n v="80.7"/>
    <d v="2025-01-02T00:00:00"/>
    <d v="2025-01-03T00:00:00"/>
    <x v="1"/>
    <x v="0"/>
    <x v="2"/>
    <x v="0"/>
    <x v="16"/>
    <x v="3"/>
    <x v="0"/>
    <x v="1"/>
  </r>
  <r>
    <s v="TX500043"/>
    <x v="4"/>
    <x v="1"/>
    <n v="54.5"/>
    <n v="109"/>
    <d v="2025-01-02T00:00:00"/>
    <d v="2025-01-04T00:00:00"/>
    <x v="1"/>
    <x v="1"/>
    <x v="1"/>
    <x v="0"/>
    <x v="6"/>
    <x v="1"/>
    <x v="0"/>
    <x v="1"/>
  </r>
  <r>
    <s v="TX500044"/>
    <x v="6"/>
    <x v="2"/>
    <n v="68.599999999999994"/>
    <n v="205.79999999999998"/>
    <d v="2025-01-02T00:00:00"/>
    <d v="2025-01-02T00:00:00"/>
    <x v="2"/>
    <x v="0"/>
    <x v="1"/>
    <x v="0"/>
    <x v="8"/>
    <x v="7"/>
    <x v="0"/>
    <x v="2"/>
  </r>
  <r>
    <s v="TX500045"/>
    <x v="2"/>
    <x v="12"/>
    <n v="135.9"/>
    <n v="543.6"/>
    <d v="2025-01-02T00:00:00"/>
    <d v="2025-01-03T00:00:00"/>
    <x v="2"/>
    <x v="2"/>
    <x v="2"/>
    <x v="0"/>
    <x v="8"/>
    <x v="3"/>
    <x v="0"/>
    <x v="2"/>
  </r>
  <r>
    <s v="TX500046"/>
    <x v="2"/>
    <x v="12"/>
    <n v="70.900000000000006"/>
    <n v="283.60000000000002"/>
    <d v="2025-01-02T00:00:00"/>
    <d v="2025-01-03T00:00:00"/>
    <x v="2"/>
    <x v="0"/>
    <x v="0"/>
    <x v="0"/>
    <x v="17"/>
    <x v="3"/>
    <x v="0"/>
    <x v="2"/>
  </r>
  <r>
    <s v="TX500047"/>
    <x v="1"/>
    <x v="9"/>
    <n v="63.7"/>
    <n v="318.5"/>
    <d v="2025-01-02T00:00:00"/>
    <d v="2025-01-03T00:00:00"/>
    <x v="1"/>
    <x v="1"/>
    <x v="1"/>
    <x v="0"/>
    <x v="9"/>
    <x v="3"/>
    <x v="0"/>
    <x v="1"/>
  </r>
  <r>
    <s v="TX500048"/>
    <x v="13"/>
    <x v="0"/>
    <n v="29.7"/>
    <n v="29.7"/>
    <d v="2025-01-02T00:00:00"/>
    <d v="2025-01-04T00:00:00"/>
    <x v="2"/>
    <x v="1"/>
    <x v="0"/>
    <x v="0"/>
    <x v="11"/>
    <x v="1"/>
    <x v="0"/>
    <x v="2"/>
  </r>
  <r>
    <s v="TX500049"/>
    <x v="4"/>
    <x v="2"/>
    <n v="26.8"/>
    <n v="80.400000000000006"/>
    <d v="2025-01-02T00:00:00"/>
    <d v="2025-01-11T00:00:00"/>
    <x v="2"/>
    <x v="1"/>
    <x v="2"/>
    <x v="0"/>
    <x v="11"/>
    <x v="8"/>
    <x v="0"/>
    <x v="2"/>
  </r>
  <r>
    <s v="TX500050"/>
    <x v="14"/>
    <x v="0"/>
    <n v="27"/>
    <n v="27"/>
    <d v="2025-01-02T00:00:00"/>
    <d v="2025-01-04T00:00:00"/>
    <x v="2"/>
    <x v="0"/>
    <x v="0"/>
    <x v="0"/>
    <x v="18"/>
    <x v="1"/>
    <x v="0"/>
    <x v="2"/>
  </r>
  <r>
    <s v="TX500051"/>
    <x v="8"/>
    <x v="0"/>
    <n v="41.4"/>
    <n v="41.4"/>
    <d v="2025-01-02T00:00:00"/>
    <d v="2025-01-03T00:00:00"/>
    <x v="1"/>
    <x v="1"/>
    <x v="2"/>
    <x v="0"/>
    <x v="19"/>
    <x v="3"/>
    <x v="0"/>
    <x v="1"/>
  </r>
  <r>
    <s v="TX500052"/>
    <x v="8"/>
    <x v="1"/>
    <n v="24.3"/>
    <n v="48.6"/>
    <d v="2025-01-02T00:00:00"/>
    <d v="2025-01-05T00:00:00"/>
    <x v="2"/>
    <x v="1"/>
    <x v="0"/>
    <x v="0"/>
    <x v="19"/>
    <x v="2"/>
    <x v="0"/>
    <x v="2"/>
  </r>
  <r>
    <s v="TX500053"/>
    <x v="8"/>
    <x v="2"/>
    <n v="41.7"/>
    <n v="125.10000000000001"/>
    <d v="2025-01-02T00:00:00"/>
    <d v="2025-01-04T00:00:00"/>
    <x v="1"/>
    <x v="0"/>
    <x v="2"/>
    <x v="0"/>
    <x v="20"/>
    <x v="1"/>
    <x v="0"/>
    <x v="1"/>
  </r>
  <r>
    <s v="TX500054"/>
    <x v="0"/>
    <x v="1"/>
    <n v="18"/>
    <n v="36"/>
    <d v="2025-01-02T00:00:00"/>
    <d v="2025-01-03T00:00:00"/>
    <x v="2"/>
    <x v="0"/>
    <x v="2"/>
    <x v="0"/>
    <x v="21"/>
    <x v="3"/>
    <x v="0"/>
    <x v="2"/>
  </r>
  <r>
    <s v="TX500055"/>
    <x v="7"/>
    <x v="2"/>
    <n v="91.3"/>
    <n v="273.89999999999998"/>
    <d v="2025-01-02T00:00:00"/>
    <d v="2025-01-05T00:00:00"/>
    <x v="1"/>
    <x v="2"/>
    <x v="2"/>
    <x v="0"/>
    <x v="3"/>
    <x v="2"/>
    <x v="0"/>
    <x v="1"/>
  </r>
  <r>
    <s v="TX500056"/>
    <x v="8"/>
    <x v="8"/>
    <n v="19.3"/>
    <n v="154.4"/>
    <d v="2025-01-02T00:00:00"/>
    <d v="2025-01-03T00:00:00"/>
    <x v="1"/>
    <x v="0"/>
    <x v="0"/>
    <x v="0"/>
    <x v="3"/>
    <x v="3"/>
    <x v="0"/>
    <x v="1"/>
  </r>
  <r>
    <s v="TX500057"/>
    <x v="12"/>
    <x v="15"/>
    <n v="63.2"/>
    <n v="821.6"/>
    <d v="2025-01-02T00:00:00"/>
    <d v="2025-01-03T00:00:00"/>
    <x v="2"/>
    <x v="0"/>
    <x v="0"/>
    <x v="0"/>
    <x v="3"/>
    <x v="3"/>
    <x v="0"/>
    <x v="2"/>
  </r>
  <r>
    <s v="TX500058"/>
    <x v="10"/>
    <x v="11"/>
    <n v="33.299999999999997"/>
    <n v="299.7"/>
    <d v="2025-01-03T00:00:00"/>
    <d v="2025-01-11T00:00:00"/>
    <x v="2"/>
    <x v="0"/>
    <x v="2"/>
    <x v="0"/>
    <x v="3"/>
    <x v="9"/>
    <x v="0"/>
    <x v="2"/>
  </r>
  <r>
    <s v="TX500059"/>
    <x v="7"/>
    <x v="1"/>
    <n v="64.2"/>
    <n v="128.4"/>
    <d v="2025-01-03T00:00:00"/>
    <d v="2025-01-04T00:00:00"/>
    <x v="1"/>
    <x v="0"/>
    <x v="2"/>
    <x v="0"/>
    <x v="3"/>
    <x v="3"/>
    <x v="0"/>
    <x v="1"/>
  </r>
  <r>
    <s v="TX500060"/>
    <x v="9"/>
    <x v="2"/>
    <n v="23.1"/>
    <n v="69.300000000000011"/>
    <d v="2025-01-03T00:00:00"/>
    <d v="2025-01-06T00:00:00"/>
    <x v="2"/>
    <x v="1"/>
    <x v="2"/>
    <x v="0"/>
    <x v="3"/>
    <x v="2"/>
    <x v="0"/>
    <x v="2"/>
  </r>
  <r>
    <s v="TX500061"/>
    <x v="15"/>
    <x v="1"/>
    <n v="71.099999999999994"/>
    <n v="142.19999999999999"/>
    <d v="2025-01-03T00:00:00"/>
    <d v="2025-01-05T00:00:00"/>
    <x v="2"/>
    <x v="3"/>
    <x v="1"/>
    <x v="0"/>
    <x v="3"/>
    <x v="1"/>
    <x v="0"/>
    <x v="2"/>
  </r>
  <r>
    <s v="TX500062"/>
    <x v="0"/>
    <x v="1"/>
    <n v="11.5"/>
    <n v="23"/>
    <d v="2025-01-03T00:00:00"/>
    <d v="2025-01-04T00:00:00"/>
    <x v="2"/>
    <x v="0"/>
    <x v="0"/>
    <x v="0"/>
    <x v="3"/>
    <x v="3"/>
    <x v="0"/>
    <x v="2"/>
  </r>
  <r>
    <s v="TX500063"/>
    <x v="15"/>
    <x v="10"/>
    <n v="69.2"/>
    <n v="1314.8"/>
    <d v="2025-01-03T00:00:00"/>
    <d v="2025-01-08T00:00:00"/>
    <x v="2"/>
    <x v="0"/>
    <x v="0"/>
    <x v="0"/>
    <x v="3"/>
    <x v="0"/>
    <x v="0"/>
    <x v="2"/>
  </r>
  <r>
    <s v="TX500064"/>
    <x v="0"/>
    <x v="0"/>
    <n v="26.8"/>
    <n v="26.8"/>
    <d v="2025-01-03T00:00:00"/>
    <d v="2025-01-04T00:00:00"/>
    <x v="1"/>
    <x v="2"/>
    <x v="4"/>
    <x v="0"/>
    <x v="3"/>
    <x v="3"/>
    <x v="0"/>
    <x v="1"/>
  </r>
  <r>
    <s v="TX500065"/>
    <x v="16"/>
    <x v="2"/>
    <n v="31.2"/>
    <n v="93.6"/>
    <d v="2025-01-03T00:00:00"/>
    <d v="2025-01-06T00:00:00"/>
    <x v="2"/>
    <x v="0"/>
    <x v="0"/>
    <x v="0"/>
    <x v="3"/>
    <x v="2"/>
    <x v="0"/>
    <x v="2"/>
  </r>
  <r>
    <s v="TX500066"/>
    <x v="12"/>
    <x v="1"/>
    <n v="113.2"/>
    <n v="226.4"/>
    <d v="2025-01-03T00:00:00"/>
    <d v="2025-01-04T00:00:00"/>
    <x v="2"/>
    <x v="4"/>
    <x v="0"/>
    <x v="0"/>
    <x v="3"/>
    <x v="3"/>
    <x v="0"/>
    <x v="2"/>
  </r>
  <r>
    <s v="TX500067"/>
    <x v="10"/>
    <x v="8"/>
    <n v="21"/>
    <n v="168"/>
    <d v="2025-01-03T00:00:00"/>
    <d v="2025-01-04T00:00:00"/>
    <x v="1"/>
    <x v="0"/>
    <x v="0"/>
    <x v="0"/>
    <x v="6"/>
    <x v="3"/>
    <x v="0"/>
    <x v="1"/>
  </r>
  <r>
    <s v="TX500068"/>
    <x v="1"/>
    <x v="1"/>
    <n v="89.1"/>
    <n v="178.2"/>
    <d v="2025-01-03T00:00:00"/>
    <d v="2025-01-04T00:00:00"/>
    <x v="2"/>
    <x v="2"/>
    <x v="2"/>
    <x v="0"/>
    <x v="6"/>
    <x v="3"/>
    <x v="0"/>
    <x v="2"/>
  </r>
  <r>
    <s v="TX500069"/>
    <x v="1"/>
    <x v="0"/>
    <n v="97.7"/>
    <n v="97.7"/>
    <d v="2025-01-03T00:00:00"/>
    <d v="2025-01-05T00:00:00"/>
    <x v="2"/>
    <x v="0"/>
    <x v="1"/>
    <x v="0"/>
    <x v="6"/>
    <x v="1"/>
    <x v="0"/>
    <x v="2"/>
  </r>
  <r>
    <s v="TX500070"/>
    <x v="15"/>
    <x v="12"/>
    <n v="97.7"/>
    <n v="390.8"/>
    <d v="2025-01-03T00:00:00"/>
    <d v="2025-01-05T00:00:00"/>
    <x v="1"/>
    <x v="3"/>
    <x v="0"/>
    <x v="0"/>
    <x v="6"/>
    <x v="1"/>
    <x v="0"/>
    <x v="1"/>
  </r>
  <r>
    <s v="TX500071"/>
    <x v="17"/>
    <x v="2"/>
    <n v="47.4"/>
    <n v="142.19999999999999"/>
    <d v="2025-01-03T00:00:00"/>
    <d v="2025-01-06T00:00:00"/>
    <x v="1"/>
    <x v="3"/>
    <x v="2"/>
    <x v="0"/>
    <x v="8"/>
    <x v="2"/>
    <x v="0"/>
    <x v="1"/>
  </r>
  <r>
    <s v="TX500072"/>
    <x v="7"/>
    <x v="0"/>
    <n v="89.6"/>
    <n v="89.6"/>
    <d v="2025-01-03T00:00:00"/>
    <d v="2025-01-06T00:00:00"/>
    <x v="2"/>
    <x v="0"/>
    <x v="2"/>
    <x v="0"/>
    <x v="8"/>
    <x v="2"/>
    <x v="0"/>
    <x v="2"/>
  </r>
  <r>
    <s v="TX500073"/>
    <x v="10"/>
    <x v="16"/>
    <n v="28.4"/>
    <n v="511.2"/>
    <d v="2025-01-03T00:00:00"/>
    <d v="2025-01-06T00:00:00"/>
    <x v="2"/>
    <x v="3"/>
    <x v="2"/>
    <x v="0"/>
    <x v="17"/>
    <x v="2"/>
    <x v="0"/>
    <x v="2"/>
  </r>
  <r>
    <s v="TX500074"/>
    <x v="0"/>
    <x v="1"/>
    <n v="17.899999999999999"/>
    <n v="35.799999999999997"/>
    <d v="2025-01-03T00:00:00"/>
    <d v="2025-01-04T00:00:00"/>
    <x v="2"/>
    <x v="0"/>
    <x v="2"/>
    <x v="0"/>
    <x v="9"/>
    <x v="3"/>
    <x v="0"/>
    <x v="2"/>
  </r>
  <r>
    <s v="TX500075"/>
    <x v="9"/>
    <x v="1"/>
    <n v="48.4"/>
    <n v="96.8"/>
    <d v="2025-01-03T00:00:00"/>
    <d v="2025-01-06T00:00:00"/>
    <x v="1"/>
    <x v="1"/>
    <x v="0"/>
    <x v="0"/>
    <x v="9"/>
    <x v="2"/>
    <x v="0"/>
    <x v="1"/>
  </r>
  <r>
    <s v="TX500076"/>
    <x v="12"/>
    <x v="12"/>
    <n v="44.4"/>
    <n v="177.6"/>
    <d v="2025-01-03T00:00:00"/>
    <d v="2025-01-04T00:00:00"/>
    <x v="3"/>
    <x v="1"/>
    <x v="1"/>
    <x v="0"/>
    <x v="11"/>
    <x v="3"/>
    <x v="0"/>
    <x v="3"/>
  </r>
  <r>
    <s v="TX500077"/>
    <x v="2"/>
    <x v="8"/>
    <n v="103.7"/>
    <n v="829.6"/>
    <d v="2025-01-03T00:00:00"/>
    <d v="2025-01-04T00:00:00"/>
    <x v="2"/>
    <x v="0"/>
    <x v="1"/>
    <x v="0"/>
    <x v="19"/>
    <x v="3"/>
    <x v="0"/>
    <x v="2"/>
  </r>
  <r>
    <s v="TX500078"/>
    <x v="5"/>
    <x v="12"/>
    <n v="58.6"/>
    <n v="234.4"/>
    <d v="2025-01-03T00:00:00"/>
    <d v="2025-01-05T00:00:00"/>
    <x v="1"/>
    <x v="3"/>
    <x v="0"/>
    <x v="0"/>
    <x v="19"/>
    <x v="1"/>
    <x v="0"/>
    <x v="1"/>
  </r>
  <r>
    <s v="TX500079"/>
    <x v="9"/>
    <x v="12"/>
    <n v="54.8"/>
    <n v="219.2"/>
    <d v="2025-01-03T00:00:00"/>
    <d v="2025-01-07T00:00:00"/>
    <x v="2"/>
    <x v="2"/>
    <x v="1"/>
    <x v="0"/>
    <x v="13"/>
    <x v="5"/>
    <x v="0"/>
    <x v="2"/>
  </r>
  <r>
    <s v="TX500080"/>
    <x v="12"/>
    <x v="2"/>
    <n v="78.8"/>
    <n v="236.39999999999998"/>
    <d v="2025-01-03T00:00:00"/>
    <d v="2025-01-09T00:00:00"/>
    <x v="2"/>
    <x v="4"/>
    <x v="1"/>
    <x v="0"/>
    <x v="21"/>
    <x v="4"/>
    <x v="0"/>
    <x v="2"/>
  </r>
  <r>
    <s v="TX500081"/>
    <x v="18"/>
    <x v="9"/>
    <n v="36.799999999999997"/>
    <n v="184"/>
    <d v="2025-01-03T00:00:00"/>
    <d v="2025-01-06T00:00:00"/>
    <x v="1"/>
    <x v="4"/>
    <x v="1"/>
    <x v="0"/>
    <x v="22"/>
    <x v="2"/>
    <x v="0"/>
    <x v="1"/>
  </r>
  <r>
    <s v="TX500082"/>
    <x v="6"/>
    <x v="13"/>
    <n v="50.6"/>
    <n v="303.60000000000002"/>
    <d v="2025-01-03T00:00:00"/>
    <d v="2025-01-05T00:00:00"/>
    <x v="2"/>
    <x v="3"/>
    <x v="0"/>
    <x v="0"/>
    <x v="3"/>
    <x v="1"/>
    <x v="0"/>
    <x v="2"/>
  </r>
  <r>
    <s v="TX500083"/>
    <x v="15"/>
    <x v="2"/>
    <n v="36.799999999999997"/>
    <n v="110.39999999999999"/>
    <d v="2025-01-03T00:00:00"/>
    <d v="2025-01-03T00:00:00"/>
    <x v="1"/>
    <x v="2"/>
    <x v="1"/>
    <x v="0"/>
    <x v="3"/>
    <x v="7"/>
    <x v="0"/>
    <x v="1"/>
  </r>
  <r>
    <s v="TX500084"/>
    <x v="8"/>
    <x v="11"/>
    <n v="41.8"/>
    <n v="376.2"/>
    <d v="2025-01-04T00:00:00"/>
    <d v="2025-01-10T00:00:00"/>
    <x v="2"/>
    <x v="3"/>
    <x v="0"/>
    <x v="0"/>
    <x v="3"/>
    <x v="4"/>
    <x v="0"/>
    <x v="2"/>
  </r>
  <r>
    <s v="TX500085"/>
    <x v="18"/>
    <x v="0"/>
    <n v="77.3"/>
    <n v="77.3"/>
    <d v="2025-01-04T00:00:00"/>
    <d v="2025-01-05T00:00:00"/>
    <x v="1"/>
    <x v="4"/>
    <x v="4"/>
    <x v="0"/>
    <x v="3"/>
    <x v="3"/>
    <x v="0"/>
    <x v="1"/>
  </r>
  <r>
    <s v="TX500086"/>
    <x v="8"/>
    <x v="12"/>
    <n v="19.8"/>
    <n v="79.2"/>
    <d v="2025-01-04T00:00:00"/>
    <d v="2025-01-10T00:00:00"/>
    <x v="1"/>
    <x v="1"/>
    <x v="2"/>
    <x v="0"/>
    <x v="3"/>
    <x v="4"/>
    <x v="0"/>
    <x v="1"/>
  </r>
  <r>
    <s v="TX500087"/>
    <x v="13"/>
    <x v="12"/>
    <n v="15.5"/>
    <n v="62"/>
    <d v="2025-01-04T00:00:00"/>
    <d v="2025-01-05T00:00:00"/>
    <x v="2"/>
    <x v="1"/>
    <x v="2"/>
    <x v="0"/>
    <x v="3"/>
    <x v="3"/>
    <x v="0"/>
    <x v="2"/>
  </r>
  <r>
    <s v="TX500088"/>
    <x v="12"/>
    <x v="0"/>
    <n v="46.8"/>
    <n v="46.8"/>
    <d v="2025-01-04T00:00:00"/>
    <d v="2025-01-08T00:00:00"/>
    <x v="1"/>
    <x v="0"/>
    <x v="2"/>
    <x v="0"/>
    <x v="3"/>
    <x v="5"/>
    <x v="0"/>
    <x v="1"/>
  </r>
  <r>
    <s v="TX500089"/>
    <x v="9"/>
    <x v="11"/>
    <n v="28.6"/>
    <n v="257.40000000000003"/>
    <d v="2025-01-04T00:00:00"/>
    <d v="2025-01-08T00:00:00"/>
    <x v="1"/>
    <x v="0"/>
    <x v="2"/>
    <x v="0"/>
    <x v="3"/>
    <x v="5"/>
    <x v="0"/>
    <x v="1"/>
  </r>
  <r>
    <s v="TX500090"/>
    <x v="2"/>
    <x v="0"/>
    <n v="97.7"/>
    <n v="97.7"/>
    <d v="2025-01-04T00:00:00"/>
    <d v="2025-01-07T00:00:00"/>
    <x v="2"/>
    <x v="1"/>
    <x v="0"/>
    <x v="0"/>
    <x v="3"/>
    <x v="2"/>
    <x v="0"/>
    <x v="2"/>
  </r>
  <r>
    <s v="TX500091"/>
    <x v="9"/>
    <x v="9"/>
    <n v="54.7"/>
    <n v="273.5"/>
    <d v="2025-01-04T00:00:00"/>
    <d v="2025-01-07T00:00:00"/>
    <x v="0"/>
    <x v="0"/>
    <x v="2"/>
    <x v="0"/>
    <x v="23"/>
    <x v="2"/>
    <x v="0"/>
    <x v="0"/>
  </r>
  <r>
    <s v="TX500092"/>
    <x v="2"/>
    <x v="13"/>
    <n v="130.5"/>
    <n v="783"/>
    <d v="2025-01-04T00:00:00"/>
    <d v="2025-01-06T00:00:00"/>
    <x v="2"/>
    <x v="0"/>
    <x v="1"/>
    <x v="0"/>
    <x v="23"/>
    <x v="1"/>
    <x v="0"/>
    <x v="2"/>
  </r>
  <r>
    <s v="TX500093"/>
    <x v="11"/>
    <x v="1"/>
    <n v="50.4"/>
    <n v="100.8"/>
    <d v="2025-01-04T00:00:00"/>
    <d v="2025-01-06T00:00:00"/>
    <x v="1"/>
    <x v="2"/>
    <x v="2"/>
    <x v="0"/>
    <x v="6"/>
    <x v="1"/>
    <x v="0"/>
    <x v="1"/>
  </r>
  <r>
    <s v="TX500094"/>
    <x v="6"/>
    <x v="15"/>
    <n v="61.5"/>
    <n v="799.5"/>
    <d v="2025-01-04T00:00:00"/>
    <d v="2025-01-05T00:00:00"/>
    <x v="0"/>
    <x v="3"/>
    <x v="1"/>
    <x v="0"/>
    <x v="11"/>
    <x v="3"/>
    <x v="0"/>
    <x v="0"/>
  </r>
  <r>
    <s v="TX500095"/>
    <x v="9"/>
    <x v="12"/>
    <n v="30.1"/>
    <n v="120.4"/>
    <d v="2025-01-04T00:00:00"/>
    <d v="2025-01-05T00:00:00"/>
    <x v="2"/>
    <x v="0"/>
    <x v="2"/>
    <x v="0"/>
    <x v="21"/>
    <x v="3"/>
    <x v="0"/>
    <x v="2"/>
  </r>
  <r>
    <s v="TX500096"/>
    <x v="2"/>
    <x v="9"/>
    <n v="74.8"/>
    <n v="374"/>
    <d v="2025-01-04T00:00:00"/>
    <d v="2025-01-05T00:00:00"/>
    <x v="2"/>
    <x v="1"/>
    <x v="0"/>
    <x v="0"/>
    <x v="1"/>
    <x v="3"/>
    <x v="0"/>
    <x v="2"/>
  </r>
  <r>
    <s v="TX500097"/>
    <x v="16"/>
    <x v="2"/>
    <n v="64.900000000000006"/>
    <n v="194.70000000000002"/>
    <d v="2025-01-04T00:00:00"/>
    <d v="2025-01-11T00:00:00"/>
    <x v="1"/>
    <x v="0"/>
    <x v="0"/>
    <x v="0"/>
    <x v="2"/>
    <x v="6"/>
    <x v="0"/>
    <x v="1"/>
  </r>
  <r>
    <s v="TX500098"/>
    <x v="9"/>
    <x v="1"/>
    <n v="50.5"/>
    <n v="101"/>
    <d v="2025-01-04T00:00:00"/>
    <d v="2025-01-06T00:00:00"/>
    <x v="1"/>
    <x v="1"/>
    <x v="0"/>
    <x v="0"/>
    <x v="22"/>
    <x v="1"/>
    <x v="0"/>
    <x v="1"/>
  </r>
  <r>
    <s v="TX500099"/>
    <x v="11"/>
    <x v="3"/>
    <n v="63"/>
    <n v="441"/>
    <d v="2025-01-04T00:00:00"/>
    <d v="2025-01-07T00:00:00"/>
    <x v="1"/>
    <x v="3"/>
    <x v="2"/>
    <x v="0"/>
    <x v="3"/>
    <x v="2"/>
    <x v="0"/>
    <x v="1"/>
  </r>
  <r>
    <s v="TX500100"/>
    <x v="2"/>
    <x v="2"/>
    <n v="93.6"/>
    <n v="280.79999999999995"/>
    <d v="2025-01-04T00:00:00"/>
    <d v="2025-01-17T00:00:00"/>
    <x v="2"/>
    <x v="0"/>
    <x v="2"/>
    <x v="0"/>
    <x v="3"/>
    <x v="10"/>
    <x v="0"/>
    <x v="2"/>
  </r>
  <r>
    <s v="TX500101"/>
    <x v="5"/>
    <x v="17"/>
    <n v="41.4"/>
    <n v="1242"/>
    <d v="2025-01-04T00:00:00"/>
    <d v="2025-01-08T00:00:00"/>
    <x v="1"/>
    <x v="2"/>
    <x v="2"/>
    <x v="0"/>
    <x v="3"/>
    <x v="5"/>
    <x v="0"/>
    <x v="1"/>
  </r>
  <r>
    <s v="TX500102"/>
    <x v="2"/>
    <x v="1"/>
    <n v="160"/>
    <n v="320"/>
    <d v="2025-01-05T00:00:00"/>
    <d v="2025-01-06T00:00:00"/>
    <x v="1"/>
    <x v="2"/>
    <x v="2"/>
    <x v="0"/>
    <x v="5"/>
    <x v="3"/>
    <x v="1"/>
    <x v="1"/>
  </r>
  <r>
    <s v="TX500103"/>
    <x v="19"/>
    <x v="5"/>
    <n v="10.5"/>
    <n v="115.5"/>
    <d v="2025-01-05T00:00:00"/>
    <d v="2025-01-08T00:00:00"/>
    <x v="2"/>
    <x v="4"/>
    <x v="0"/>
    <x v="0"/>
    <x v="8"/>
    <x v="2"/>
    <x v="1"/>
    <x v="2"/>
  </r>
  <r>
    <s v="TX500104"/>
    <x v="10"/>
    <x v="1"/>
    <n v="53"/>
    <n v="106"/>
    <d v="2025-01-05T00:00:00"/>
    <d v="2025-01-05T00:00:00"/>
    <x v="1"/>
    <x v="2"/>
    <x v="4"/>
    <x v="0"/>
    <x v="17"/>
    <x v="7"/>
    <x v="1"/>
    <x v="1"/>
  </r>
  <r>
    <s v="TX500105"/>
    <x v="8"/>
    <x v="2"/>
    <n v="18.5"/>
    <n v="55.5"/>
    <d v="2025-01-05T00:00:00"/>
    <d v="2025-01-10T00:00:00"/>
    <x v="2"/>
    <x v="1"/>
    <x v="2"/>
    <x v="0"/>
    <x v="11"/>
    <x v="0"/>
    <x v="1"/>
    <x v="2"/>
  </r>
  <r>
    <s v="TX500106"/>
    <x v="16"/>
    <x v="2"/>
    <n v="84.5"/>
    <n v="253.5"/>
    <d v="2025-01-05T00:00:00"/>
    <d v="2025-01-07T00:00:00"/>
    <x v="2"/>
    <x v="4"/>
    <x v="1"/>
    <x v="0"/>
    <x v="13"/>
    <x v="1"/>
    <x v="1"/>
    <x v="2"/>
  </r>
  <r>
    <s v="TX500107"/>
    <x v="15"/>
    <x v="3"/>
    <n v="31.2"/>
    <n v="218.4"/>
    <d v="2025-01-05T00:00:00"/>
    <d v="2025-01-05T00:00:00"/>
    <x v="2"/>
    <x v="2"/>
    <x v="2"/>
    <x v="0"/>
    <x v="3"/>
    <x v="7"/>
    <x v="1"/>
    <x v="2"/>
  </r>
  <r>
    <s v="TX500108"/>
    <x v="8"/>
    <x v="16"/>
    <n v="32.6"/>
    <n v="586.80000000000007"/>
    <d v="2025-01-05T00:00:00"/>
    <d v="2025-01-06T00:00:00"/>
    <x v="1"/>
    <x v="1"/>
    <x v="1"/>
    <x v="0"/>
    <x v="3"/>
    <x v="3"/>
    <x v="1"/>
    <x v="1"/>
  </r>
  <r>
    <s v="TX500109"/>
    <x v="10"/>
    <x v="12"/>
    <n v="45.4"/>
    <n v="181.6"/>
    <d v="2025-01-05T00:00:00"/>
    <d v="2025-01-07T00:00:00"/>
    <x v="1"/>
    <x v="1"/>
    <x v="0"/>
    <x v="0"/>
    <x v="3"/>
    <x v="1"/>
    <x v="1"/>
    <x v="1"/>
  </r>
  <r>
    <s v="TX500110"/>
    <x v="2"/>
    <x v="4"/>
    <n v="120"/>
    <n v="1440"/>
    <d v="2025-01-05T00:00:00"/>
    <d v="2025-01-06T00:00:00"/>
    <x v="2"/>
    <x v="2"/>
    <x v="4"/>
    <x v="0"/>
    <x v="3"/>
    <x v="3"/>
    <x v="1"/>
    <x v="2"/>
  </r>
  <r>
    <s v="TX500111"/>
    <x v="0"/>
    <x v="12"/>
    <n v="18.899999999999999"/>
    <n v="75.599999999999994"/>
    <d v="2025-01-05T00:00:00"/>
    <d v="2025-01-07T00:00:00"/>
    <x v="1"/>
    <x v="0"/>
    <x v="2"/>
    <x v="0"/>
    <x v="3"/>
    <x v="1"/>
    <x v="1"/>
    <x v="1"/>
  </r>
  <r>
    <s v="TX500112"/>
    <x v="4"/>
    <x v="0"/>
    <n v="32"/>
    <n v="32"/>
    <d v="2025-01-05T00:00:00"/>
    <d v="2025-01-07T00:00:00"/>
    <x v="2"/>
    <x v="4"/>
    <x v="0"/>
    <x v="0"/>
    <x v="3"/>
    <x v="1"/>
    <x v="1"/>
    <x v="2"/>
  </r>
  <r>
    <s v="TX500113"/>
    <x v="7"/>
    <x v="1"/>
    <n v="37.299999999999997"/>
    <n v="74.599999999999994"/>
    <d v="2025-01-05T00:00:00"/>
    <d v="2025-01-06T00:00:00"/>
    <x v="1"/>
    <x v="2"/>
    <x v="0"/>
    <x v="0"/>
    <x v="3"/>
    <x v="3"/>
    <x v="1"/>
    <x v="1"/>
  </r>
  <r>
    <s v="TX500114"/>
    <x v="18"/>
    <x v="0"/>
    <n v="119.8"/>
    <n v="119.8"/>
    <d v="2025-01-05T00:00:00"/>
    <d v="2025-01-06T00:00:00"/>
    <x v="1"/>
    <x v="1"/>
    <x v="1"/>
    <x v="0"/>
    <x v="3"/>
    <x v="3"/>
    <x v="1"/>
    <x v="1"/>
  </r>
  <r>
    <s v="TX500115"/>
    <x v="10"/>
    <x v="1"/>
    <n v="26.4"/>
    <n v="52.8"/>
    <d v="2025-01-05T00:00:00"/>
    <d v="2025-01-08T00:00:00"/>
    <x v="1"/>
    <x v="2"/>
    <x v="0"/>
    <x v="0"/>
    <x v="3"/>
    <x v="2"/>
    <x v="1"/>
    <x v="1"/>
  </r>
  <r>
    <s v="TX500116"/>
    <x v="6"/>
    <x v="13"/>
    <n v="76.5"/>
    <n v="459"/>
    <d v="2025-01-05T00:00:00"/>
    <d v="2025-01-06T00:00:00"/>
    <x v="2"/>
    <x v="1"/>
    <x v="1"/>
    <x v="0"/>
    <x v="3"/>
    <x v="3"/>
    <x v="1"/>
    <x v="2"/>
  </r>
  <r>
    <s v="TX500117"/>
    <x v="4"/>
    <x v="7"/>
    <n v="45.7"/>
    <n v="457"/>
    <d v="2025-01-05T00:00:00"/>
    <d v="2025-01-06T00:00:00"/>
    <x v="2"/>
    <x v="2"/>
    <x v="0"/>
    <x v="0"/>
    <x v="24"/>
    <x v="3"/>
    <x v="1"/>
    <x v="2"/>
  </r>
  <r>
    <s v="TX500118"/>
    <x v="1"/>
    <x v="4"/>
    <n v="92.6"/>
    <n v="1111.1999999999998"/>
    <d v="2025-01-05T00:00:00"/>
    <d v="2025-01-07T00:00:00"/>
    <x v="2"/>
    <x v="2"/>
    <x v="0"/>
    <x v="0"/>
    <x v="25"/>
    <x v="1"/>
    <x v="1"/>
    <x v="2"/>
  </r>
  <r>
    <s v="TX500119"/>
    <x v="6"/>
    <x v="13"/>
    <n v="60.1"/>
    <n v="360.6"/>
    <d v="2025-01-05T00:00:00"/>
    <d v="2025-01-06T00:00:00"/>
    <x v="1"/>
    <x v="1"/>
    <x v="0"/>
    <x v="0"/>
    <x v="23"/>
    <x v="3"/>
    <x v="1"/>
    <x v="1"/>
  </r>
  <r>
    <s v="TX500120"/>
    <x v="1"/>
    <x v="2"/>
    <n v="73"/>
    <n v="219"/>
    <d v="2025-01-05T00:00:00"/>
    <d v="2025-01-06T00:00:00"/>
    <x v="2"/>
    <x v="3"/>
    <x v="1"/>
    <x v="0"/>
    <x v="6"/>
    <x v="3"/>
    <x v="1"/>
    <x v="2"/>
  </r>
  <r>
    <s v="TX500121"/>
    <x v="6"/>
    <x v="2"/>
    <n v="44.3"/>
    <n v="132.89999999999998"/>
    <d v="2025-01-05T00:00:00"/>
    <d v="2025-01-09T00:00:00"/>
    <x v="0"/>
    <x v="2"/>
    <x v="2"/>
    <x v="0"/>
    <x v="6"/>
    <x v="5"/>
    <x v="1"/>
    <x v="0"/>
  </r>
  <r>
    <s v="TX500122"/>
    <x v="6"/>
    <x v="2"/>
    <n v="63.3"/>
    <n v="189.89999999999998"/>
    <d v="2025-01-05T00:00:00"/>
    <d v="2025-01-06T00:00:00"/>
    <x v="1"/>
    <x v="2"/>
    <x v="0"/>
    <x v="0"/>
    <x v="6"/>
    <x v="3"/>
    <x v="1"/>
    <x v="1"/>
  </r>
  <r>
    <s v="TX500123"/>
    <x v="12"/>
    <x v="0"/>
    <n v="66.8"/>
    <n v="66.8"/>
    <d v="2025-01-05T00:00:00"/>
    <d v="2025-01-06T00:00:00"/>
    <x v="2"/>
    <x v="1"/>
    <x v="0"/>
    <x v="0"/>
    <x v="6"/>
    <x v="3"/>
    <x v="1"/>
    <x v="2"/>
  </r>
  <r>
    <s v="TX500124"/>
    <x v="2"/>
    <x v="1"/>
    <n v="59.7"/>
    <n v="119.4"/>
    <d v="2025-01-05T00:00:00"/>
    <d v="2025-01-06T00:00:00"/>
    <x v="2"/>
    <x v="0"/>
    <x v="0"/>
    <x v="0"/>
    <x v="7"/>
    <x v="3"/>
    <x v="1"/>
    <x v="2"/>
  </r>
  <r>
    <s v="TX500125"/>
    <x v="1"/>
    <x v="13"/>
    <n v="92"/>
    <n v="552"/>
    <d v="2025-01-05T00:00:00"/>
    <d v="2025-01-07T00:00:00"/>
    <x v="1"/>
    <x v="0"/>
    <x v="4"/>
    <x v="0"/>
    <x v="7"/>
    <x v="1"/>
    <x v="1"/>
    <x v="1"/>
  </r>
  <r>
    <s v="TX500126"/>
    <x v="7"/>
    <x v="1"/>
    <n v="87.6"/>
    <n v="175.2"/>
    <d v="2025-01-05T00:00:00"/>
    <d v="2025-01-07T00:00:00"/>
    <x v="1"/>
    <x v="1"/>
    <x v="1"/>
    <x v="0"/>
    <x v="8"/>
    <x v="1"/>
    <x v="1"/>
    <x v="1"/>
  </r>
  <r>
    <s v="TX500127"/>
    <x v="6"/>
    <x v="2"/>
    <n v="84.5"/>
    <n v="253.5"/>
    <d v="2025-01-05T00:00:00"/>
    <d v="2025-01-06T00:00:00"/>
    <x v="2"/>
    <x v="1"/>
    <x v="1"/>
    <x v="0"/>
    <x v="8"/>
    <x v="3"/>
    <x v="1"/>
    <x v="2"/>
  </r>
  <r>
    <s v="TX500128"/>
    <x v="1"/>
    <x v="1"/>
    <n v="116.3"/>
    <n v="232.6"/>
    <d v="2025-01-06T00:00:00"/>
    <d v="2025-01-08T00:00:00"/>
    <x v="1"/>
    <x v="2"/>
    <x v="2"/>
    <x v="0"/>
    <x v="8"/>
    <x v="1"/>
    <x v="1"/>
    <x v="1"/>
  </r>
  <r>
    <s v="TX500129"/>
    <x v="6"/>
    <x v="9"/>
    <n v="52.7"/>
    <n v="263.5"/>
    <d v="2025-01-06T00:00:00"/>
    <d v="2025-01-10T00:00:00"/>
    <x v="1"/>
    <x v="0"/>
    <x v="0"/>
    <x v="0"/>
    <x v="8"/>
    <x v="5"/>
    <x v="1"/>
    <x v="1"/>
  </r>
  <r>
    <s v="TX500130"/>
    <x v="16"/>
    <x v="2"/>
    <n v="34.200000000000003"/>
    <n v="102.60000000000001"/>
    <d v="2025-01-06T00:00:00"/>
    <d v="2025-01-07T00:00:00"/>
    <x v="1"/>
    <x v="0"/>
    <x v="2"/>
    <x v="0"/>
    <x v="26"/>
    <x v="3"/>
    <x v="1"/>
    <x v="1"/>
  </r>
  <r>
    <s v="TX500131"/>
    <x v="9"/>
    <x v="0"/>
    <n v="23.3"/>
    <n v="23.3"/>
    <d v="2025-01-06T00:00:00"/>
    <d v="2025-01-15T00:00:00"/>
    <x v="3"/>
    <x v="2"/>
    <x v="2"/>
    <x v="0"/>
    <x v="9"/>
    <x v="8"/>
    <x v="1"/>
    <x v="3"/>
  </r>
  <r>
    <s v="TX500132"/>
    <x v="0"/>
    <x v="18"/>
    <n v="25.9"/>
    <n v="673.4"/>
    <d v="2025-01-06T00:00:00"/>
    <d v="2025-01-09T00:00:00"/>
    <x v="2"/>
    <x v="4"/>
    <x v="1"/>
    <x v="0"/>
    <x v="9"/>
    <x v="2"/>
    <x v="1"/>
    <x v="2"/>
  </r>
  <r>
    <s v="TX500133"/>
    <x v="6"/>
    <x v="19"/>
    <n v="54.9"/>
    <n v="1592.1"/>
    <d v="2025-01-06T00:00:00"/>
    <d v="2025-01-07T00:00:00"/>
    <x v="1"/>
    <x v="1"/>
    <x v="2"/>
    <x v="0"/>
    <x v="9"/>
    <x v="3"/>
    <x v="1"/>
    <x v="1"/>
  </r>
  <r>
    <s v="TX500134"/>
    <x v="5"/>
    <x v="2"/>
    <n v="75.8"/>
    <n v="227.39999999999998"/>
    <d v="2025-01-06T00:00:00"/>
    <d v="2025-01-11T00:00:00"/>
    <x v="3"/>
    <x v="1"/>
    <x v="0"/>
    <x v="0"/>
    <x v="18"/>
    <x v="0"/>
    <x v="1"/>
    <x v="3"/>
  </r>
  <r>
    <s v="TX500135"/>
    <x v="1"/>
    <x v="11"/>
    <n v="44.9"/>
    <n v="404.09999999999997"/>
    <d v="2025-01-06T00:00:00"/>
    <d v="2025-01-09T00:00:00"/>
    <x v="2"/>
    <x v="2"/>
    <x v="2"/>
    <x v="0"/>
    <x v="2"/>
    <x v="2"/>
    <x v="1"/>
    <x v="2"/>
  </r>
  <r>
    <s v="TX500136"/>
    <x v="11"/>
    <x v="1"/>
    <n v="48.8"/>
    <n v="97.6"/>
    <d v="2025-01-06T00:00:00"/>
    <d v="2025-01-08T00:00:00"/>
    <x v="2"/>
    <x v="3"/>
    <x v="0"/>
    <x v="0"/>
    <x v="27"/>
    <x v="1"/>
    <x v="1"/>
    <x v="2"/>
  </r>
  <r>
    <s v="TX500137"/>
    <x v="15"/>
    <x v="0"/>
    <n v="20.3"/>
    <n v="20.3"/>
    <d v="2025-01-06T00:00:00"/>
    <d v="2025-01-07T00:00:00"/>
    <x v="2"/>
    <x v="0"/>
    <x v="2"/>
    <x v="0"/>
    <x v="22"/>
    <x v="3"/>
    <x v="1"/>
    <x v="2"/>
  </r>
  <r>
    <s v="TX500138"/>
    <x v="5"/>
    <x v="3"/>
    <n v="36.4"/>
    <n v="254.79999999999998"/>
    <d v="2025-01-06T00:00:00"/>
    <d v="2025-01-09T00:00:00"/>
    <x v="2"/>
    <x v="0"/>
    <x v="1"/>
    <x v="0"/>
    <x v="3"/>
    <x v="2"/>
    <x v="1"/>
    <x v="2"/>
  </r>
  <r>
    <s v="TX500139"/>
    <x v="0"/>
    <x v="0"/>
    <n v="19"/>
    <n v="19"/>
    <d v="2025-01-06T00:00:00"/>
    <d v="2025-01-11T00:00:00"/>
    <x v="2"/>
    <x v="1"/>
    <x v="2"/>
    <x v="0"/>
    <x v="3"/>
    <x v="0"/>
    <x v="1"/>
    <x v="2"/>
  </r>
  <r>
    <s v="TX500140"/>
    <x v="8"/>
    <x v="0"/>
    <n v="17.8"/>
    <n v="17.8"/>
    <d v="2025-01-06T00:00:00"/>
    <d v="2025-01-06T00:00:00"/>
    <x v="1"/>
    <x v="0"/>
    <x v="0"/>
    <x v="0"/>
    <x v="3"/>
    <x v="7"/>
    <x v="1"/>
    <x v="1"/>
  </r>
  <r>
    <s v="TX500141"/>
    <x v="2"/>
    <x v="13"/>
    <n v="139.6"/>
    <n v="837.59999999999991"/>
    <d v="2025-01-06T00:00:00"/>
    <d v="2025-01-09T00:00:00"/>
    <x v="1"/>
    <x v="0"/>
    <x v="0"/>
    <x v="0"/>
    <x v="3"/>
    <x v="2"/>
    <x v="1"/>
    <x v="1"/>
  </r>
  <r>
    <s v="TX500142"/>
    <x v="9"/>
    <x v="0"/>
    <n v="31.7"/>
    <n v="31.7"/>
    <d v="2025-01-06T00:00:00"/>
    <d v="2025-01-06T00:00:00"/>
    <x v="0"/>
    <x v="0"/>
    <x v="0"/>
    <x v="0"/>
    <x v="3"/>
    <x v="7"/>
    <x v="1"/>
    <x v="0"/>
  </r>
  <r>
    <s v="TX500143"/>
    <x v="8"/>
    <x v="8"/>
    <n v="26.3"/>
    <n v="210.4"/>
    <d v="2025-01-06T00:00:00"/>
    <d v="2025-01-09T00:00:00"/>
    <x v="2"/>
    <x v="4"/>
    <x v="4"/>
    <x v="0"/>
    <x v="3"/>
    <x v="2"/>
    <x v="1"/>
    <x v="2"/>
  </r>
  <r>
    <s v="TX500144"/>
    <x v="4"/>
    <x v="1"/>
    <n v="47.8"/>
    <n v="95.6"/>
    <d v="2025-01-06T00:00:00"/>
    <d v="2025-01-07T00:00:00"/>
    <x v="0"/>
    <x v="0"/>
    <x v="0"/>
    <x v="0"/>
    <x v="3"/>
    <x v="3"/>
    <x v="1"/>
    <x v="0"/>
  </r>
  <r>
    <s v="TX500145"/>
    <x v="9"/>
    <x v="2"/>
    <n v="69.400000000000006"/>
    <n v="208.20000000000002"/>
    <d v="2025-01-06T00:00:00"/>
    <d v="2025-01-10T00:00:00"/>
    <x v="2"/>
    <x v="0"/>
    <x v="0"/>
    <x v="0"/>
    <x v="3"/>
    <x v="5"/>
    <x v="1"/>
    <x v="2"/>
  </r>
  <r>
    <s v="TX500146"/>
    <x v="18"/>
    <x v="4"/>
    <n v="25.8"/>
    <n v="309.60000000000002"/>
    <d v="2025-01-06T00:00:00"/>
    <d v="2025-01-07T00:00:00"/>
    <x v="1"/>
    <x v="4"/>
    <x v="4"/>
    <x v="0"/>
    <x v="3"/>
    <x v="3"/>
    <x v="1"/>
    <x v="1"/>
  </r>
  <r>
    <s v="TX500147"/>
    <x v="0"/>
    <x v="12"/>
    <n v="26.4"/>
    <n v="105.6"/>
    <d v="2025-01-06T00:00:00"/>
    <d v="2025-01-07T00:00:00"/>
    <x v="1"/>
    <x v="1"/>
    <x v="2"/>
    <x v="0"/>
    <x v="3"/>
    <x v="3"/>
    <x v="1"/>
    <x v="1"/>
  </r>
  <r>
    <s v="TX500148"/>
    <x v="8"/>
    <x v="12"/>
    <n v="15.7"/>
    <n v="62.8"/>
    <d v="2025-01-06T00:00:00"/>
    <d v="2025-01-07T00:00:00"/>
    <x v="1"/>
    <x v="2"/>
    <x v="0"/>
    <x v="0"/>
    <x v="3"/>
    <x v="3"/>
    <x v="1"/>
    <x v="1"/>
  </r>
  <r>
    <s v="TX500149"/>
    <x v="8"/>
    <x v="0"/>
    <n v="39.700000000000003"/>
    <n v="39.700000000000003"/>
    <d v="2025-01-06T00:00:00"/>
    <d v="2025-01-10T00:00:00"/>
    <x v="1"/>
    <x v="0"/>
    <x v="0"/>
    <x v="0"/>
    <x v="3"/>
    <x v="5"/>
    <x v="1"/>
    <x v="1"/>
  </r>
  <r>
    <s v="TX500150"/>
    <x v="10"/>
    <x v="12"/>
    <n v="31.1"/>
    <n v="124.4"/>
    <d v="2025-01-06T00:00:00"/>
    <d v="2025-01-08T00:00:00"/>
    <x v="2"/>
    <x v="2"/>
    <x v="1"/>
    <x v="0"/>
    <x v="3"/>
    <x v="1"/>
    <x v="1"/>
    <x v="2"/>
  </r>
  <r>
    <s v="TX500151"/>
    <x v="13"/>
    <x v="20"/>
    <n v="23.4"/>
    <n v="351"/>
    <d v="2025-01-06T00:00:00"/>
    <d v="2025-01-15T00:00:00"/>
    <x v="1"/>
    <x v="0"/>
    <x v="0"/>
    <x v="0"/>
    <x v="3"/>
    <x v="8"/>
    <x v="1"/>
    <x v="1"/>
  </r>
  <r>
    <s v="TX500152"/>
    <x v="1"/>
    <x v="12"/>
    <n v="57.1"/>
    <n v="228.4"/>
    <d v="2025-01-07T00:00:00"/>
    <d v="2025-01-08T00:00:00"/>
    <x v="1"/>
    <x v="2"/>
    <x v="0"/>
    <x v="0"/>
    <x v="25"/>
    <x v="3"/>
    <x v="1"/>
    <x v="1"/>
  </r>
  <r>
    <s v="TX500153"/>
    <x v="2"/>
    <x v="9"/>
    <n v="89.9"/>
    <n v="449.5"/>
    <d v="2025-01-07T00:00:00"/>
    <d v="2025-01-07T00:00:00"/>
    <x v="2"/>
    <x v="0"/>
    <x v="3"/>
    <x v="0"/>
    <x v="23"/>
    <x v="7"/>
    <x v="1"/>
    <x v="2"/>
  </r>
  <r>
    <s v="TX500154"/>
    <x v="10"/>
    <x v="3"/>
    <n v="48.1"/>
    <n v="336.7"/>
    <d v="2025-01-07T00:00:00"/>
    <d v="2025-01-09T00:00:00"/>
    <x v="2"/>
    <x v="1"/>
    <x v="2"/>
    <x v="0"/>
    <x v="6"/>
    <x v="1"/>
    <x v="1"/>
    <x v="2"/>
  </r>
  <r>
    <s v="TX500155"/>
    <x v="8"/>
    <x v="1"/>
    <n v="29.3"/>
    <n v="58.6"/>
    <d v="2025-01-07T00:00:00"/>
    <d v="2025-01-07T00:00:00"/>
    <x v="2"/>
    <x v="1"/>
    <x v="1"/>
    <x v="0"/>
    <x v="6"/>
    <x v="7"/>
    <x v="1"/>
    <x v="2"/>
  </r>
  <r>
    <s v="TX500156"/>
    <x v="8"/>
    <x v="12"/>
    <n v="28.8"/>
    <n v="115.2"/>
    <d v="2025-01-07T00:00:00"/>
    <d v="2025-01-08T00:00:00"/>
    <x v="2"/>
    <x v="0"/>
    <x v="4"/>
    <x v="0"/>
    <x v="6"/>
    <x v="3"/>
    <x v="1"/>
    <x v="2"/>
  </r>
  <r>
    <s v="TX500157"/>
    <x v="10"/>
    <x v="9"/>
    <n v="40.5"/>
    <n v="202.5"/>
    <d v="2025-01-07T00:00:00"/>
    <d v="2025-01-11T00:00:00"/>
    <x v="2"/>
    <x v="3"/>
    <x v="0"/>
    <x v="0"/>
    <x v="6"/>
    <x v="5"/>
    <x v="1"/>
    <x v="2"/>
  </r>
  <r>
    <s v="TX500158"/>
    <x v="18"/>
    <x v="21"/>
    <n v="65.099999999999994"/>
    <n v="911.39999999999986"/>
    <d v="2025-01-07T00:00:00"/>
    <d v="2025-01-08T00:00:00"/>
    <x v="2"/>
    <x v="4"/>
    <x v="0"/>
    <x v="0"/>
    <x v="7"/>
    <x v="3"/>
    <x v="1"/>
    <x v="2"/>
  </r>
  <r>
    <s v="TX500159"/>
    <x v="8"/>
    <x v="12"/>
    <n v="40.299999999999997"/>
    <n v="161.19999999999999"/>
    <d v="2025-01-07T00:00:00"/>
    <d v="2025-01-12T00:00:00"/>
    <x v="2"/>
    <x v="2"/>
    <x v="0"/>
    <x v="0"/>
    <x v="7"/>
    <x v="0"/>
    <x v="1"/>
    <x v="2"/>
  </r>
  <r>
    <s v="TX500160"/>
    <x v="6"/>
    <x v="9"/>
    <n v="51.8"/>
    <n v="259"/>
    <d v="2025-01-07T00:00:00"/>
    <d v="2025-01-08T00:00:00"/>
    <x v="1"/>
    <x v="2"/>
    <x v="2"/>
    <x v="0"/>
    <x v="8"/>
    <x v="3"/>
    <x v="1"/>
    <x v="1"/>
  </r>
  <r>
    <s v="TX500161"/>
    <x v="6"/>
    <x v="2"/>
    <n v="61.3"/>
    <n v="183.89999999999998"/>
    <d v="2025-01-07T00:00:00"/>
    <d v="2025-01-08T00:00:00"/>
    <x v="2"/>
    <x v="3"/>
    <x v="0"/>
    <x v="0"/>
    <x v="8"/>
    <x v="3"/>
    <x v="1"/>
    <x v="2"/>
  </r>
  <r>
    <s v="TX500162"/>
    <x v="2"/>
    <x v="12"/>
    <n v="122.5"/>
    <n v="490"/>
    <d v="2025-01-07T00:00:00"/>
    <d v="2025-01-08T00:00:00"/>
    <x v="1"/>
    <x v="0"/>
    <x v="0"/>
    <x v="0"/>
    <x v="8"/>
    <x v="3"/>
    <x v="1"/>
    <x v="1"/>
  </r>
  <r>
    <s v="TX500163"/>
    <x v="0"/>
    <x v="11"/>
    <n v="12.5"/>
    <n v="112.5"/>
    <d v="2025-01-07T00:00:00"/>
    <d v="2025-01-08T00:00:00"/>
    <x v="0"/>
    <x v="1"/>
    <x v="2"/>
    <x v="0"/>
    <x v="8"/>
    <x v="3"/>
    <x v="1"/>
    <x v="0"/>
  </r>
  <r>
    <s v="TX500164"/>
    <x v="15"/>
    <x v="8"/>
    <n v="37.5"/>
    <n v="300"/>
    <d v="2025-01-07T00:00:00"/>
    <d v="2025-01-08T00:00:00"/>
    <x v="2"/>
    <x v="0"/>
    <x v="0"/>
    <x v="0"/>
    <x v="9"/>
    <x v="3"/>
    <x v="1"/>
    <x v="2"/>
  </r>
  <r>
    <s v="TX500165"/>
    <x v="6"/>
    <x v="2"/>
    <n v="40"/>
    <n v="120"/>
    <d v="2025-01-07T00:00:00"/>
    <d v="2025-01-10T00:00:00"/>
    <x v="1"/>
    <x v="0"/>
    <x v="4"/>
    <x v="0"/>
    <x v="11"/>
    <x v="2"/>
    <x v="1"/>
    <x v="1"/>
  </r>
  <r>
    <s v="TX500166"/>
    <x v="17"/>
    <x v="8"/>
    <n v="38.5"/>
    <n v="308"/>
    <d v="2025-01-07T00:00:00"/>
    <d v="2025-01-12T00:00:00"/>
    <x v="2"/>
    <x v="2"/>
    <x v="1"/>
    <x v="0"/>
    <x v="11"/>
    <x v="0"/>
    <x v="1"/>
    <x v="2"/>
  </r>
  <r>
    <s v="TX500167"/>
    <x v="2"/>
    <x v="1"/>
    <n v="86.4"/>
    <n v="172.8"/>
    <d v="2025-01-07T00:00:00"/>
    <d v="2025-01-09T00:00:00"/>
    <x v="2"/>
    <x v="0"/>
    <x v="0"/>
    <x v="0"/>
    <x v="18"/>
    <x v="1"/>
    <x v="1"/>
    <x v="2"/>
  </r>
  <r>
    <s v="TX500168"/>
    <x v="10"/>
    <x v="0"/>
    <n v="50.7"/>
    <n v="50.7"/>
    <d v="2025-01-07T00:00:00"/>
    <d v="2025-01-11T00:00:00"/>
    <x v="2"/>
    <x v="1"/>
    <x v="0"/>
    <x v="0"/>
    <x v="18"/>
    <x v="5"/>
    <x v="1"/>
    <x v="2"/>
  </r>
  <r>
    <s v="TX500169"/>
    <x v="10"/>
    <x v="1"/>
    <n v="61"/>
    <n v="122"/>
    <d v="2025-01-07T00:00:00"/>
    <d v="2025-01-18T00:00:00"/>
    <x v="2"/>
    <x v="4"/>
    <x v="1"/>
    <x v="0"/>
    <x v="18"/>
    <x v="11"/>
    <x v="1"/>
    <x v="2"/>
  </r>
  <r>
    <s v="TX500170"/>
    <x v="4"/>
    <x v="1"/>
    <n v="19.899999999999999"/>
    <n v="39.799999999999997"/>
    <d v="2025-01-07T00:00:00"/>
    <d v="2025-01-10T00:00:00"/>
    <x v="2"/>
    <x v="1"/>
    <x v="0"/>
    <x v="0"/>
    <x v="28"/>
    <x v="2"/>
    <x v="1"/>
    <x v="2"/>
  </r>
  <r>
    <s v="TX500171"/>
    <x v="5"/>
    <x v="0"/>
    <n v="78.3"/>
    <n v="78.3"/>
    <d v="2025-01-07T00:00:00"/>
    <d v="2025-01-07T00:00:00"/>
    <x v="2"/>
    <x v="0"/>
    <x v="2"/>
    <x v="0"/>
    <x v="1"/>
    <x v="7"/>
    <x v="1"/>
    <x v="2"/>
  </r>
  <r>
    <s v="TX500172"/>
    <x v="0"/>
    <x v="10"/>
    <n v="10.4"/>
    <n v="197.6"/>
    <d v="2025-01-07T00:00:00"/>
    <d v="2025-01-09T00:00:00"/>
    <x v="1"/>
    <x v="0"/>
    <x v="2"/>
    <x v="0"/>
    <x v="2"/>
    <x v="1"/>
    <x v="1"/>
    <x v="1"/>
  </r>
  <r>
    <s v="TX500173"/>
    <x v="10"/>
    <x v="0"/>
    <n v="36.1"/>
    <n v="36.1"/>
    <d v="2025-01-07T00:00:00"/>
    <d v="2025-01-10T00:00:00"/>
    <x v="1"/>
    <x v="3"/>
    <x v="2"/>
    <x v="0"/>
    <x v="3"/>
    <x v="2"/>
    <x v="1"/>
    <x v="1"/>
  </r>
  <r>
    <s v="TX500174"/>
    <x v="14"/>
    <x v="1"/>
    <n v="17.3"/>
    <n v="34.6"/>
    <d v="2025-01-07T00:00:00"/>
    <d v="2025-01-09T00:00:00"/>
    <x v="2"/>
    <x v="1"/>
    <x v="2"/>
    <x v="0"/>
    <x v="3"/>
    <x v="1"/>
    <x v="1"/>
    <x v="2"/>
  </r>
  <r>
    <s v="TX500175"/>
    <x v="10"/>
    <x v="1"/>
    <n v="30.5"/>
    <n v="61"/>
    <d v="2025-01-07T00:00:00"/>
    <d v="2025-01-08T00:00:00"/>
    <x v="2"/>
    <x v="1"/>
    <x v="2"/>
    <x v="0"/>
    <x v="3"/>
    <x v="3"/>
    <x v="1"/>
    <x v="2"/>
  </r>
  <r>
    <s v="TX500176"/>
    <x v="18"/>
    <x v="22"/>
    <n v="70.099999999999994"/>
    <n v="4346.2"/>
    <d v="2025-01-07T00:00:00"/>
    <d v="2025-01-07T00:00:00"/>
    <x v="2"/>
    <x v="2"/>
    <x v="0"/>
    <x v="0"/>
    <x v="3"/>
    <x v="7"/>
    <x v="1"/>
    <x v="2"/>
  </r>
  <r>
    <s v="TX500177"/>
    <x v="3"/>
    <x v="0"/>
    <n v="76.099999999999994"/>
    <n v="76.099999999999994"/>
    <d v="2025-01-07T00:00:00"/>
    <d v="2025-01-07T00:00:00"/>
    <x v="2"/>
    <x v="2"/>
    <x v="1"/>
    <x v="0"/>
    <x v="3"/>
    <x v="7"/>
    <x v="1"/>
    <x v="2"/>
  </r>
  <r>
    <s v="TX500178"/>
    <x v="15"/>
    <x v="15"/>
    <n v="34.200000000000003"/>
    <n v="444.6"/>
    <d v="2025-01-07T00:00:00"/>
    <d v="2025-01-08T00:00:00"/>
    <x v="1"/>
    <x v="0"/>
    <x v="0"/>
    <x v="0"/>
    <x v="3"/>
    <x v="3"/>
    <x v="1"/>
    <x v="1"/>
  </r>
  <r>
    <s v="TX500179"/>
    <x v="8"/>
    <x v="9"/>
    <n v="30.3"/>
    <n v="151.5"/>
    <d v="2025-01-07T00:00:00"/>
    <d v="2025-01-12T00:00:00"/>
    <x v="2"/>
    <x v="4"/>
    <x v="0"/>
    <x v="0"/>
    <x v="3"/>
    <x v="0"/>
    <x v="1"/>
    <x v="2"/>
  </r>
  <r>
    <s v="TX500180"/>
    <x v="6"/>
    <x v="9"/>
    <n v="52.5"/>
    <n v="262.5"/>
    <d v="2025-01-07T00:00:00"/>
    <d v="2025-01-11T00:00:00"/>
    <x v="0"/>
    <x v="3"/>
    <x v="0"/>
    <x v="0"/>
    <x v="3"/>
    <x v="5"/>
    <x v="1"/>
    <x v="0"/>
  </r>
  <r>
    <s v="TX500181"/>
    <x v="9"/>
    <x v="5"/>
    <n v="28.7"/>
    <n v="315.7"/>
    <d v="2025-01-07T00:00:00"/>
    <d v="2025-01-08T00:00:00"/>
    <x v="2"/>
    <x v="2"/>
    <x v="0"/>
    <x v="0"/>
    <x v="3"/>
    <x v="3"/>
    <x v="1"/>
    <x v="2"/>
  </r>
  <r>
    <s v="TX500182"/>
    <x v="7"/>
    <x v="3"/>
    <n v="52"/>
    <n v="364"/>
    <d v="2025-01-07T00:00:00"/>
    <d v="2025-01-08T00:00:00"/>
    <x v="1"/>
    <x v="1"/>
    <x v="4"/>
    <x v="0"/>
    <x v="3"/>
    <x v="3"/>
    <x v="1"/>
    <x v="1"/>
  </r>
  <r>
    <s v="TX500183"/>
    <x v="0"/>
    <x v="0"/>
    <n v="13.3"/>
    <n v="13.3"/>
    <d v="2025-01-08T00:00:00"/>
    <d v="2025-01-12T00:00:00"/>
    <x v="2"/>
    <x v="2"/>
    <x v="1"/>
    <x v="0"/>
    <x v="3"/>
    <x v="5"/>
    <x v="1"/>
    <x v="2"/>
  </r>
  <r>
    <s v="TX500184"/>
    <x v="0"/>
    <x v="2"/>
    <n v="15.7"/>
    <n v="47.099999999999994"/>
    <d v="2025-01-08T00:00:00"/>
    <d v="2025-01-09T00:00:00"/>
    <x v="2"/>
    <x v="1"/>
    <x v="0"/>
    <x v="0"/>
    <x v="29"/>
    <x v="3"/>
    <x v="1"/>
    <x v="2"/>
  </r>
  <r>
    <s v="TX500185"/>
    <x v="8"/>
    <x v="1"/>
    <n v="25.6"/>
    <n v="51.2"/>
    <d v="2025-01-08T00:00:00"/>
    <d v="2025-01-09T00:00:00"/>
    <x v="1"/>
    <x v="0"/>
    <x v="2"/>
    <x v="0"/>
    <x v="23"/>
    <x v="3"/>
    <x v="1"/>
    <x v="1"/>
  </r>
  <r>
    <s v="TX500186"/>
    <x v="8"/>
    <x v="0"/>
    <n v="43.4"/>
    <n v="43.4"/>
    <d v="2025-01-08T00:00:00"/>
    <d v="2025-01-13T00:00:00"/>
    <x v="1"/>
    <x v="0"/>
    <x v="0"/>
    <x v="0"/>
    <x v="6"/>
    <x v="0"/>
    <x v="1"/>
    <x v="1"/>
  </r>
  <r>
    <s v="TX500187"/>
    <x v="11"/>
    <x v="11"/>
    <n v="33.4"/>
    <n v="300.59999999999997"/>
    <d v="2025-01-08T00:00:00"/>
    <d v="2025-01-08T00:00:00"/>
    <x v="2"/>
    <x v="0"/>
    <x v="0"/>
    <x v="0"/>
    <x v="8"/>
    <x v="7"/>
    <x v="1"/>
    <x v="2"/>
  </r>
  <r>
    <s v="TX500188"/>
    <x v="8"/>
    <x v="10"/>
    <n v="55"/>
    <n v="1045"/>
    <d v="2025-01-08T00:00:00"/>
    <d v="2025-01-09T00:00:00"/>
    <x v="2"/>
    <x v="1"/>
    <x v="2"/>
    <x v="0"/>
    <x v="8"/>
    <x v="3"/>
    <x v="1"/>
    <x v="2"/>
  </r>
  <r>
    <s v="TX500189"/>
    <x v="8"/>
    <x v="2"/>
    <n v="23.6"/>
    <n v="70.800000000000011"/>
    <d v="2025-01-08T00:00:00"/>
    <d v="2025-01-09T00:00:00"/>
    <x v="1"/>
    <x v="0"/>
    <x v="2"/>
    <x v="0"/>
    <x v="8"/>
    <x v="3"/>
    <x v="1"/>
    <x v="1"/>
  </r>
  <r>
    <s v="TX500190"/>
    <x v="12"/>
    <x v="11"/>
    <n v="104"/>
    <n v="936"/>
    <d v="2025-01-08T00:00:00"/>
    <d v="2025-01-10T00:00:00"/>
    <x v="2"/>
    <x v="2"/>
    <x v="2"/>
    <x v="0"/>
    <x v="17"/>
    <x v="1"/>
    <x v="1"/>
    <x v="2"/>
  </r>
  <r>
    <s v="TX500191"/>
    <x v="6"/>
    <x v="1"/>
    <n v="51.8"/>
    <n v="103.6"/>
    <d v="2025-01-08T00:00:00"/>
    <d v="2025-01-12T00:00:00"/>
    <x v="4"/>
    <x v="0"/>
    <x v="2"/>
    <x v="0"/>
    <x v="10"/>
    <x v="5"/>
    <x v="1"/>
    <x v="0"/>
  </r>
  <r>
    <s v="TX500192"/>
    <x v="10"/>
    <x v="9"/>
    <n v="34.5"/>
    <n v="172.5"/>
    <d v="2025-01-08T00:00:00"/>
    <d v="2025-01-10T00:00:00"/>
    <x v="0"/>
    <x v="2"/>
    <x v="2"/>
    <x v="0"/>
    <x v="11"/>
    <x v="1"/>
    <x v="1"/>
    <x v="0"/>
  </r>
  <r>
    <s v="TX500193"/>
    <x v="6"/>
    <x v="1"/>
    <n v="51.8"/>
    <n v="103.6"/>
    <d v="2025-01-08T00:00:00"/>
    <d v="2025-01-10T00:00:00"/>
    <x v="1"/>
    <x v="1"/>
    <x v="2"/>
    <x v="0"/>
    <x v="30"/>
    <x v="1"/>
    <x v="1"/>
    <x v="1"/>
  </r>
  <r>
    <s v="TX500194"/>
    <x v="18"/>
    <x v="23"/>
    <n v="131.5"/>
    <n v="5654.5"/>
    <d v="2025-01-08T00:00:00"/>
    <d v="2025-01-09T00:00:00"/>
    <x v="2"/>
    <x v="0"/>
    <x v="2"/>
    <x v="0"/>
    <x v="18"/>
    <x v="3"/>
    <x v="1"/>
    <x v="2"/>
  </r>
  <r>
    <s v="TX500195"/>
    <x v="8"/>
    <x v="3"/>
    <n v="47.8"/>
    <n v="334.59999999999997"/>
    <d v="2025-01-08T00:00:00"/>
    <d v="2025-01-08T00:00:00"/>
    <x v="2"/>
    <x v="0"/>
    <x v="0"/>
    <x v="0"/>
    <x v="19"/>
    <x v="7"/>
    <x v="1"/>
    <x v="2"/>
  </r>
  <r>
    <s v="TX500196"/>
    <x v="0"/>
    <x v="1"/>
    <n v="10.199999999999999"/>
    <n v="20.399999999999999"/>
    <d v="2025-01-08T00:00:00"/>
    <d v="2025-01-10T00:00:00"/>
    <x v="2"/>
    <x v="0"/>
    <x v="0"/>
    <x v="0"/>
    <x v="19"/>
    <x v="1"/>
    <x v="1"/>
    <x v="2"/>
  </r>
  <r>
    <s v="TX500197"/>
    <x v="8"/>
    <x v="8"/>
    <n v="41"/>
    <n v="328"/>
    <d v="2025-01-08T00:00:00"/>
    <d v="2025-01-08T00:00:00"/>
    <x v="2"/>
    <x v="1"/>
    <x v="2"/>
    <x v="0"/>
    <x v="19"/>
    <x v="7"/>
    <x v="1"/>
    <x v="2"/>
  </r>
  <r>
    <s v="TX500198"/>
    <x v="10"/>
    <x v="3"/>
    <n v="50.8"/>
    <n v="355.59999999999997"/>
    <d v="2025-01-08T00:00:00"/>
    <d v="2025-01-11T00:00:00"/>
    <x v="2"/>
    <x v="1"/>
    <x v="0"/>
    <x v="0"/>
    <x v="21"/>
    <x v="2"/>
    <x v="1"/>
    <x v="2"/>
  </r>
  <r>
    <s v="TX500199"/>
    <x v="18"/>
    <x v="2"/>
    <n v="39.6"/>
    <n v="118.80000000000001"/>
    <d v="2025-01-08T00:00:00"/>
    <d v="2025-01-09T00:00:00"/>
    <x v="1"/>
    <x v="2"/>
    <x v="2"/>
    <x v="0"/>
    <x v="1"/>
    <x v="3"/>
    <x v="1"/>
    <x v="1"/>
  </r>
  <r>
    <s v="TX500200"/>
    <x v="5"/>
    <x v="1"/>
    <n v="69.5"/>
    <n v="139"/>
    <d v="2025-01-08T00:00:00"/>
    <d v="2025-01-10T00:00:00"/>
    <x v="1"/>
    <x v="0"/>
    <x v="2"/>
    <x v="0"/>
    <x v="2"/>
    <x v="1"/>
    <x v="1"/>
    <x v="1"/>
  </r>
  <r>
    <s v="TX500201"/>
    <x v="8"/>
    <x v="8"/>
    <n v="32.6"/>
    <n v="260.8"/>
    <d v="2025-01-08T00:00:00"/>
    <d v="2025-01-11T00:00:00"/>
    <x v="1"/>
    <x v="1"/>
    <x v="0"/>
    <x v="0"/>
    <x v="3"/>
    <x v="2"/>
    <x v="1"/>
    <x v="1"/>
  </r>
  <r>
    <s v="TX500202"/>
    <x v="7"/>
    <x v="1"/>
    <n v="49.1"/>
    <n v="98.2"/>
    <d v="2025-01-08T00:00:00"/>
    <d v="2025-01-16T00:00:00"/>
    <x v="1"/>
    <x v="3"/>
    <x v="2"/>
    <x v="0"/>
    <x v="3"/>
    <x v="9"/>
    <x v="1"/>
    <x v="1"/>
  </r>
  <r>
    <s v="TX500203"/>
    <x v="6"/>
    <x v="1"/>
    <n v="49.4"/>
    <n v="98.8"/>
    <d v="2025-01-09T00:00:00"/>
    <d v="2025-01-10T00:00:00"/>
    <x v="2"/>
    <x v="2"/>
    <x v="0"/>
    <x v="0"/>
    <x v="3"/>
    <x v="3"/>
    <x v="1"/>
    <x v="2"/>
  </r>
  <r>
    <s v="TX500204"/>
    <x v="7"/>
    <x v="3"/>
    <n v="65.099999999999994"/>
    <n v="455.69999999999993"/>
    <d v="2025-01-09T00:00:00"/>
    <d v="2025-01-12T00:00:00"/>
    <x v="2"/>
    <x v="2"/>
    <x v="2"/>
    <x v="0"/>
    <x v="3"/>
    <x v="2"/>
    <x v="1"/>
    <x v="2"/>
  </r>
  <r>
    <s v="TX500205"/>
    <x v="3"/>
    <x v="1"/>
    <n v="52.1"/>
    <n v="104.2"/>
    <d v="2025-01-09T00:00:00"/>
    <d v="2025-01-13T00:00:00"/>
    <x v="2"/>
    <x v="2"/>
    <x v="0"/>
    <x v="0"/>
    <x v="3"/>
    <x v="5"/>
    <x v="1"/>
    <x v="2"/>
  </r>
  <r>
    <s v="TX500206"/>
    <x v="2"/>
    <x v="12"/>
    <n v="129.19999999999999"/>
    <n v="516.79999999999995"/>
    <d v="2025-01-09T00:00:00"/>
    <d v="2025-01-10T00:00:00"/>
    <x v="2"/>
    <x v="1"/>
    <x v="0"/>
    <x v="0"/>
    <x v="3"/>
    <x v="3"/>
    <x v="1"/>
    <x v="2"/>
  </r>
  <r>
    <s v="TX500207"/>
    <x v="1"/>
    <x v="10"/>
    <n v="81.8"/>
    <n v="1554.2"/>
    <d v="2025-01-09T00:00:00"/>
    <d v="2025-01-09T00:00:00"/>
    <x v="2"/>
    <x v="1"/>
    <x v="1"/>
    <x v="0"/>
    <x v="3"/>
    <x v="7"/>
    <x v="1"/>
    <x v="2"/>
  </r>
  <r>
    <s v="TX500208"/>
    <x v="17"/>
    <x v="0"/>
    <n v="24.9"/>
    <n v="24.9"/>
    <d v="2025-01-09T00:00:00"/>
    <d v="2025-01-13T00:00:00"/>
    <x v="2"/>
    <x v="1"/>
    <x v="0"/>
    <x v="0"/>
    <x v="3"/>
    <x v="5"/>
    <x v="1"/>
    <x v="2"/>
  </r>
  <r>
    <s v="TX500209"/>
    <x v="0"/>
    <x v="2"/>
    <n v="49.4"/>
    <n v="148.19999999999999"/>
    <d v="2025-01-09T00:00:00"/>
    <d v="2025-01-12T00:00:00"/>
    <x v="2"/>
    <x v="4"/>
    <x v="4"/>
    <x v="0"/>
    <x v="3"/>
    <x v="2"/>
    <x v="1"/>
    <x v="2"/>
  </r>
  <r>
    <s v="TX500210"/>
    <x v="8"/>
    <x v="1"/>
    <n v="22.7"/>
    <n v="45.4"/>
    <d v="2025-01-09T00:00:00"/>
    <d v="2025-01-10T00:00:00"/>
    <x v="1"/>
    <x v="3"/>
    <x v="2"/>
    <x v="0"/>
    <x v="3"/>
    <x v="3"/>
    <x v="1"/>
    <x v="1"/>
  </r>
  <r>
    <s v="TX500211"/>
    <x v="1"/>
    <x v="0"/>
    <n v="77.3"/>
    <n v="77.3"/>
    <d v="2025-01-09T00:00:00"/>
    <d v="2025-01-09T00:00:00"/>
    <x v="2"/>
    <x v="0"/>
    <x v="2"/>
    <x v="0"/>
    <x v="6"/>
    <x v="7"/>
    <x v="1"/>
    <x v="2"/>
  </r>
  <r>
    <s v="TX500212"/>
    <x v="1"/>
    <x v="9"/>
    <n v="109.1"/>
    <n v="545.5"/>
    <d v="2025-01-09T00:00:00"/>
    <d v="2025-01-12T00:00:00"/>
    <x v="2"/>
    <x v="0"/>
    <x v="0"/>
    <x v="0"/>
    <x v="6"/>
    <x v="2"/>
    <x v="1"/>
    <x v="2"/>
  </r>
  <r>
    <s v="TX500213"/>
    <x v="2"/>
    <x v="12"/>
    <n v="53.9"/>
    <n v="215.6"/>
    <d v="2025-01-09T00:00:00"/>
    <d v="2025-01-10T00:00:00"/>
    <x v="1"/>
    <x v="0"/>
    <x v="1"/>
    <x v="0"/>
    <x v="8"/>
    <x v="3"/>
    <x v="1"/>
    <x v="1"/>
  </r>
  <r>
    <s v="TX500214"/>
    <x v="9"/>
    <x v="18"/>
    <n v="21.2"/>
    <n v="551.19999999999993"/>
    <d v="2025-01-09T00:00:00"/>
    <d v="2025-01-09T00:00:00"/>
    <x v="2"/>
    <x v="0"/>
    <x v="0"/>
    <x v="0"/>
    <x v="9"/>
    <x v="7"/>
    <x v="1"/>
    <x v="2"/>
  </r>
  <r>
    <s v="TX500215"/>
    <x v="16"/>
    <x v="12"/>
    <n v="69"/>
    <n v="276"/>
    <d v="2025-01-09T00:00:00"/>
    <d v="2025-01-11T00:00:00"/>
    <x v="2"/>
    <x v="1"/>
    <x v="1"/>
    <x v="0"/>
    <x v="18"/>
    <x v="1"/>
    <x v="1"/>
    <x v="2"/>
  </r>
  <r>
    <s v="TX500216"/>
    <x v="6"/>
    <x v="2"/>
    <n v="46.2"/>
    <n v="138.60000000000002"/>
    <d v="2025-01-09T00:00:00"/>
    <d v="2025-01-11T00:00:00"/>
    <x v="2"/>
    <x v="0"/>
    <x v="2"/>
    <x v="0"/>
    <x v="31"/>
    <x v="1"/>
    <x v="1"/>
    <x v="2"/>
  </r>
  <r>
    <s v="TX500217"/>
    <x v="1"/>
    <x v="9"/>
    <n v="97.4"/>
    <n v="487"/>
    <d v="2025-01-09T00:00:00"/>
    <d v="2025-01-13T00:00:00"/>
    <x v="2"/>
    <x v="4"/>
    <x v="2"/>
    <x v="0"/>
    <x v="21"/>
    <x v="5"/>
    <x v="1"/>
    <x v="2"/>
  </r>
  <r>
    <s v="TX500218"/>
    <x v="8"/>
    <x v="9"/>
    <n v="21"/>
    <n v="105"/>
    <d v="2025-01-09T00:00:00"/>
    <d v="2025-01-10T00:00:00"/>
    <x v="1"/>
    <x v="0"/>
    <x v="1"/>
    <x v="0"/>
    <x v="21"/>
    <x v="3"/>
    <x v="1"/>
    <x v="1"/>
  </r>
  <r>
    <s v="TX500219"/>
    <x v="5"/>
    <x v="1"/>
    <n v="32.700000000000003"/>
    <n v="65.400000000000006"/>
    <d v="2025-01-10T00:00:00"/>
    <d v="2025-01-13T00:00:00"/>
    <x v="2"/>
    <x v="1"/>
    <x v="0"/>
    <x v="0"/>
    <x v="2"/>
    <x v="2"/>
    <x v="1"/>
    <x v="2"/>
  </r>
  <r>
    <s v="TX500220"/>
    <x v="6"/>
    <x v="12"/>
    <n v="48"/>
    <n v="192"/>
    <d v="2025-01-10T00:00:00"/>
    <d v="2025-01-11T00:00:00"/>
    <x v="1"/>
    <x v="3"/>
    <x v="0"/>
    <x v="0"/>
    <x v="3"/>
    <x v="3"/>
    <x v="1"/>
    <x v="1"/>
  </r>
  <r>
    <s v="TX500221"/>
    <x v="6"/>
    <x v="2"/>
    <n v="68.2"/>
    <n v="204.60000000000002"/>
    <d v="2025-01-10T00:00:00"/>
    <d v="2025-01-14T00:00:00"/>
    <x v="0"/>
    <x v="0"/>
    <x v="2"/>
    <x v="0"/>
    <x v="3"/>
    <x v="5"/>
    <x v="1"/>
    <x v="0"/>
  </r>
  <r>
    <s v="TX500222"/>
    <x v="5"/>
    <x v="0"/>
    <n v="45.4"/>
    <n v="45.4"/>
    <d v="2025-01-10T00:00:00"/>
    <d v="2025-01-12T00:00:00"/>
    <x v="1"/>
    <x v="1"/>
    <x v="0"/>
    <x v="0"/>
    <x v="3"/>
    <x v="1"/>
    <x v="1"/>
    <x v="1"/>
  </r>
  <r>
    <s v="TX500223"/>
    <x v="12"/>
    <x v="1"/>
    <n v="53.9"/>
    <n v="107.8"/>
    <d v="2025-01-10T00:00:00"/>
    <d v="2025-01-11T00:00:00"/>
    <x v="2"/>
    <x v="2"/>
    <x v="0"/>
    <x v="0"/>
    <x v="3"/>
    <x v="3"/>
    <x v="1"/>
    <x v="2"/>
  </r>
  <r>
    <s v="TX500224"/>
    <x v="2"/>
    <x v="12"/>
    <n v="62.1"/>
    <n v="248.4"/>
    <d v="2025-01-10T00:00:00"/>
    <d v="2025-01-14T00:00:00"/>
    <x v="2"/>
    <x v="0"/>
    <x v="0"/>
    <x v="0"/>
    <x v="4"/>
    <x v="5"/>
    <x v="1"/>
    <x v="2"/>
  </r>
  <r>
    <s v="TX500225"/>
    <x v="13"/>
    <x v="3"/>
    <n v="33.1"/>
    <n v="231.70000000000002"/>
    <d v="2025-01-10T00:00:00"/>
    <d v="2025-01-15T00:00:00"/>
    <x v="1"/>
    <x v="1"/>
    <x v="0"/>
    <x v="0"/>
    <x v="6"/>
    <x v="0"/>
    <x v="1"/>
    <x v="1"/>
  </r>
  <r>
    <s v="TX500226"/>
    <x v="18"/>
    <x v="9"/>
    <n v="35.200000000000003"/>
    <n v="176"/>
    <d v="2025-01-10T00:00:00"/>
    <d v="2025-01-10T00:00:00"/>
    <x v="2"/>
    <x v="1"/>
    <x v="0"/>
    <x v="0"/>
    <x v="6"/>
    <x v="7"/>
    <x v="1"/>
    <x v="2"/>
  </r>
  <r>
    <s v="TX500227"/>
    <x v="9"/>
    <x v="2"/>
    <n v="32.1"/>
    <n v="96.300000000000011"/>
    <d v="2025-01-10T00:00:00"/>
    <d v="2025-01-15T00:00:00"/>
    <x v="1"/>
    <x v="3"/>
    <x v="0"/>
    <x v="0"/>
    <x v="8"/>
    <x v="0"/>
    <x v="1"/>
    <x v="1"/>
  </r>
  <r>
    <s v="TX500228"/>
    <x v="11"/>
    <x v="0"/>
    <n v="38.1"/>
    <n v="38.1"/>
    <d v="2025-01-10T00:00:00"/>
    <d v="2025-01-15T00:00:00"/>
    <x v="2"/>
    <x v="0"/>
    <x v="2"/>
    <x v="0"/>
    <x v="8"/>
    <x v="0"/>
    <x v="1"/>
    <x v="2"/>
  </r>
  <r>
    <s v="TX500229"/>
    <x v="8"/>
    <x v="0"/>
    <n v="65.2"/>
    <n v="65.2"/>
    <d v="2025-01-10T00:00:00"/>
    <d v="2025-01-15T00:00:00"/>
    <x v="2"/>
    <x v="3"/>
    <x v="1"/>
    <x v="0"/>
    <x v="8"/>
    <x v="0"/>
    <x v="1"/>
    <x v="2"/>
  </r>
  <r>
    <s v="TX500230"/>
    <x v="10"/>
    <x v="3"/>
    <n v="55.2"/>
    <n v="386.40000000000003"/>
    <d v="2025-01-10T00:00:00"/>
    <d v="2025-01-11T00:00:00"/>
    <x v="1"/>
    <x v="2"/>
    <x v="0"/>
    <x v="0"/>
    <x v="11"/>
    <x v="3"/>
    <x v="1"/>
    <x v="1"/>
  </r>
  <r>
    <s v="TX500231"/>
    <x v="6"/>
    <x v="0"/>
    <n v="62"/>
    <n v="62"/>
    <d v="2025-01-10T00:00:00"/>
    <d v="2025-01-14T00:00:00"/>
    <x v="2"/>
    <x v="0"/>
    <x v="0"/>
    <x v="0"/>
    <x v="11"/>
    <x v="5"/>
    <x v="1"/>
    <x v="2"/>
  </r>
  <r>
    <s v="TX500232"/>
    <x v="7"/>
    <x v="2"/>
    <n v="45.9"/>
    <n v="137.69999999999999"/>
    <d v="2025-01-10T00:00:00"/>
    <d v="2025-01-11T00:00:00"/>
    <x v="2"/>
    <x v="2"/>
    <x v="0"/>
    <x v="0"/>
    <x v="32"/>
    <x v="3"/>
    <x v="1"/>
    <x v="2"/>
  </r>
  <r>
    <s v="TX500233"/>
    <x v="18"/>
    <x v="2"/>
    <n v="58.3"/>
    <n v="174.89999999999998"/>
    <d v="2025-01-10T00:00:00"/>
    <d v="2025-01-10T00:00:00"/>
    <x v="1"/>
    <x v="1"/>
    <x v="1"/>
    <x v="0"/>
    <x v="18"/>
    <x v="7"/>
    <x v="1"/>
    <x v="1"/>
  </r>
  <r>
    <s v="TX500234"/>
    <x v="8"/>
    <x v="1"/>
    <n v="22.3"/>
    <n v="44.6"/>
    <d v="2025-01-10T00:00:00"/>
    <d v="2025-01-13T00:00:00"/>
    <x v="2"/>
    <x v="0"/>
    <x v="2"/>
    <x v="0"/>
    <x v="20"/>
    <x v="2"/>
    <x v="1"/>
    <x v="2"/>
  </r>
  <r>
    <s v="TX500235"/>
    <x v="19"/>
    <x v="9"/>
    <n v="24"/>
    <n v="120"/>
    <d v="2025-01-10T00:00:00"/>
    <d v="2025-01-11T00:00:00"/>
    <x v="1"/>
    <x v="4"/>
    <x v="0"/>
    <x v="0"/>
    <x v="1"/>
    <x v="3"/>
    <x v="1"/>
    <x v="1"/>
  </r>
  <r>
    <s v="TX500236"/>
    <x v="0"/>
    <x v="7"/>
    <n v="21.3"/>
    <n v="213"/>
    <d v="2025-01-10T00:00:00"/>
    <d v="2025-01-10T00:00:00"/>
    <x v="2"/>
    <x v="1"/>
    <x v="2"/>
    <x v="0"/>
    <x v="22"/>
    <x v="7"/>
    <x v="1"/>
    <x v="2"/>
  </r>
  <r>
    <s v="TX500237"/>
    <x v="6"/>
    <x v="24"/>
    <n v="57.8"/>
    <n v="2369.7999999999997"/>
    <d v="2025-01-10T00:00:00"/>
    <d v="2025-01-12T00:00:00"/>
    <x v="2"/>
    <x v="0"/>
    <x v="2"/>
    <x v="0"/>
    <x v="3"/>
    <x v="1"/>
    <x v="1"/>
    <x v="2"/>
  </r>
  <r>
    <s v="TX500238"/>
    <x v="10"/>
    <x v="2"/>
    <n v="67.599999999999994"/>
    <n v="202.79999999999998"/>
    <d v="2025-01-10T00:00:00"/>
    <d v="2025-01-11T00:00:00"/>
    <x v="2"/>
    <x v="0"/>
    <x v="0"/>
    <x v="0"/>
    <x v="3"/>
    <x v="3"/>
    <x v="1"/>
    <x v="2"/>
  </r>
  <r>
    <s v="TX500239"/>
    <x v="6"/>
    <x v="13"/>
    <n v="66.7"/>
    <n v="400.20000000000005"/>
    <d v="2025-01-10T00:00:00"/>
    <d v="2025-01-14T00:00:00"/>
    <x v="1"/>
    <x v="4"/>
    <x v="1"/>
    <x v="0"/>
    <x v="3"/>
    <x v="5"/>
    <x v="1"/>
    <x v="1"/>
  </r>
  <r>
    <s v="TX500240"/>
    <x v="1"/>
    <x v="12"/>
    <n v="53.1"/>
    <n v="212.4"/>
    <d v="2025-01-10T00:00:00"/>
    <d v="2025-01-12T00:00:00"/>
    <x v="2"/>
    <x v="1"/>
    <x v="0"/>
    <x v="0"/>
    <x v="3"/>
    <x v="1"/>
    <x v="1"/>
    <x v="2"/>
  </r>
  <r>
    <s v="TX500241"/>
    <x v="12"/>
    <x v="2"/>
    <n v="57.4"/>
    <n v="172.2"/>
    <d v="2025-01-10T00:00:00"/>
    <d v="2025-01-13T00:00:00"/>
    <x v="2"/>
    <x v="0"/>
    <x v="2"/>
    <x v="0"/>
    <x v="29"/>
    <x v="2"/>
    <x v="1"/>
    <x v="2"/>
  </r>
  <r>
    <s v="TX500242"/>
    <x v="2"/>
    <x v="9"/>
    <n v="58.1"/>
    <n v="290.5"/>
    <d v="2025-01-10T00:00:00"/>
    <d v="2025-01-10T00:00:00"/>
    <x v="1"/>
    <x v="2"/>
    <x v="2"/>
    <x v="0"/>
    <x v="6"/>
    <x v="7"/>
    <x v="1"/>
    <x v="1"/>
  </r>
  <r>
    <s v="TX500243"/>
    <x v="5"/>
    <x v="2"/>
    <n v="31.8"/>
    <n v="95.4"/>
    <d v="2025-01-11T00:00:00"/>
    <d v="2025-01-13T00:00:00"/>
    <x v="1"/>
    <x v="3"/>
    <x v="0"/>
    <x v="0"/>
    <x v="6"/>
    <x v="1"/>
    <x v="1"/>
    <x v="1"/>
  </r>
  <r>
    <s v="TX500244"/>
    <x v="4"/>
    <x v="2"/>
    <n v="31.5"/>
    <n v="94.5"/>
    <d v="2025-01-11T00:00:00"/>
    <d v="2025-01-14T00:00:00"/>
    <x v="1"/>
    <x v="0"/>
    <x v="1"/>
    <x v="0"/>
    <x v="8"/>
    <x v="2"/>
    <x v="1"/>
    <x v="1"/>
  </r>
  <r>
    <s v="TX500245"/>
    <x v="6"/>
    <x v="3"/>
    <n v="55.9"/>
    <n v="391.3"/>
    <d v="2025-01-11T00:00:00"/>
    <d v="2025-01-15T00:00:00"/>
    <x v="2"/>
    <x v="1"/>
    <x v="2"/>
    <x v="0"/>
    <x v="8"/>
    <x v="5"/>
    <x v="1"/>
    <x v="2"/>
  </r>
  <r>
    <s v="TX500246"/>
    <x v="8"/>
    <x v="1"/>
    <n v="36.4"/>
    <n v="72.8"/>
    <d v="2025-01-11T00:00:00"/>
    <d v="2025-01-12T00:00:00"/>
    <x v="1"/>
    <x v="1"/>
    <x v="1"/>
    <x v="0"/>
    <x v="9"/>
    <x v="3"/>
    <x v="1"/>
    <x v="1"/>
  </r>
  <r>
    <s v="TX500247"/>
    <x v="1"/>
    <x v="9"/>
    <n v="47.3"/>
    <n v="236.5"/>
    <d v="2025-01-11T00:00:00"/>
    <d v="2025-01-14T00:00:00"/>
    <x v="1"/>
    <x v="2"/>
    <x v="0"/>
    <x v="0"/>
    <x v="10"/>
    <x v="2"/>
    <x v="1"/>
    <x v="1"/>
  </r>
  <r>
    <s v="TX500248"/>
    <x v="6"/>
    <x v="2"/>
    <n v="82.5"/>
    <n v="247.5"/>
    <d v="2025-01-11T00:00:00"/>
    <d v="2025-01-12T00:00:00"/>
    <x v="1"/>
    <x v="0"/>
    <x v="0"/>
    <x v="0"/>
    <x v="11"/>
    <x v="3"/>
    <x v="1"/>
    <x v="1"/>
  </r>
  <r>
    <s v="TX500249"/>
    <x v="0"/>
    <x v="0"/>
    <n v="14.3"/>
    <n v="14.3"/>
    <d v="2025-01-11T00:00:00"/>
    <d v="2025-01-12T00:00:00"/>
    <x v="2"/>
    <x v="0"/>
    <x v="0"/>
    <x v="0"/>
    <x v="21"/>
    <x v="3"/>
    <x v="1"/>
    <x v="2"/>
  </r>
  <r>
    <s v="TX500250"/>
    <x v="2"/>
    <x v="13"/>
    <n v="57.6"/>
    <n v="345.6"/>
    <d v="2025-01-11T00:00:00"/>
    <d v="2025-01-25T00:00:00"/>
    <x v="2"/>
    <x v="0"/>
    <x v="0"/>
    <x v="0"/>
    <x v="21"/>
    <x v="12"/>
    <x v="1"/>
    <x v="2"/>
  </r>
  <r>
    <s v="TX500251"/>
    <x v="2"/>
    <x v="2"/>
    <n v="142.4"/>
    <n v="427.20000000000005"/>
    <d v="2025-01-11T00:00:00"/>
    <d v="2025-01-13T00:00:00"/>
    <x v="1"/>
    <x v="4"/>
    <x v="1"/>
    <x v="0"/>
    <x v="21"/>
    <x v="1"/>
    <x v="1"/>
    <x v="1"/>
  </r>
  <r>
    <s v="TX500252"/>
    <x v="12"/>
    <x v="0"/>
    <n v="30.2"/>
    <n v="30.2"/>
    <d v="2025-01-11T00:00:00"/>
    <d v="2025-01-15T00:00:00"/>
    <x v="1"/>
    <x v="1"/>
    <x v="2"/>
    <x v="0"/>
    <x v="2"/>
    <x v="5"/>
    <x v="1"/>
    <x v="1"/>
  </r>
  <r>
    <s v="TX500253"/>
    <x v="18"/>
    <x v="2"/>
    <n v="65.3"/>
    <n v="195.89999999999998"/>
    <d v="2025-01-11T00:00:00"/>
    <d v="2025-01-12T00:00:00"/>
    <x v="3"/>
    <x v="1"/>
    <x v="0"/>
    <x v="0"/>
    <x v="33"/>
    <x v="3"/>
    <x v="1"/>
    <x v="3"/>
  </r>
  <r>
    <s v="TX500254"/>
    <x v="0"/>
    <x v="1"/>
    <n v="33.4"/>
    <n v="66.8"/>
    <d v="2025-01-11T00:00:00"/>
    <d v="2025-01-12T00:00:00"/>
    <x v="1"/>
    <x v="1"/>
    <x v="1"/>
    <x v="0"/>
    <x v="22"/>
    <x v="3"/>
    <x v="1"/>
    <x v="1"/>
  </r>
  <r>
    <s v="TX500255"/>
    <x v="7"/>
    <x v="1"/>
    <n v="45.1"/>
    <n v="90.2"/>
    <d v="2025-01-11T00:00:00"/>
    <d v="2025-01-19T00:00:00"/>
    <x v="1"/>
    <x v="0"/>
    <x v="0"/>
    <x v="0"/>
    <x v="34"/>
    <x v="9"/>
    <x v="1"/>
    <x v="1"/>
  </r>
  <r>
    <s v="TX500256"/>
    <x v="2"/>
    <x v="3"/>
    <n v="61.7"/>
    <n v="431.90000000000003"/>
    <d v="2025-01-11T00:00:00"/>
    <d v="2025-01-13T00:00:00"/>
    <x v="2"/>
    <x v="4"/>
    <x v="0"/>
    <x v="0"/>
    <x v="3"/>
    <x v="1"/>
    <x v="1"/>
    <x v="2"/>
  </r>
  <r>
    <s v="TX500257"/>
    <x v="9"/>
    <x v="2"/>
    <n v="45.1"/>
    <n v="135.30000000000001"/>
    <d v="2025-01-12T00:00:00"/>
    <d v="2025-01-13T00:00:00"/>
    <x v="1"/>
    <x v="4"/>
    <x v="1"/>
    <x v="0"/>
    <x v="3"/>
    <x v="3"/>
    <x v="2"/>
    <x v="1"/>
  </r>
  <r>
    <s v="TX500258"/>
    <x v="15"/>
    <x v="9"/>
    <n v="22.7"/>
    <n v="113.5"/>
    <d v="2025-01-12T00:00:00"/>
    <d v="2025-01-17T00:00:00"/>
    <x v="1"/>
    <x v="0"/>
    <x v="2"/>
    <x v="0"/>
    <x v="35"/>
    <x v="0"/>
    <x v="2"/>
    <x v="1"/>
  </r>
  <r>
    <s v="TX500259"/>
    <x v="8"/>
    <x v="0"/>
    <n v="17.600000000000001"/>
    <n v="17.600000000000001"/>
    <d v="2025-01-12T00:00:00"/>
    <d v="2025-01-13T00:00:00"/>
    <x v="2"/>
    <x v="0"/>
    <x v="2"/>
    <x v="0"/>
    <x v="23"/>
    <x v="3"/>
    <x v="2"/>
    <x v="2"/>
  </r>
  <r>
    <s v="TX500260"/>
    <x v="14"/>
    <x v="1"/>
    <n v="11.3"/>
    <n v="22.6"/>
    <d v="2025-01-12T00:00:00"/>
    <d v="2025-01-15T00:00:00"/>
    <x v="2"/>
    <x v="3"/>
    <x v="2"/>
    <x v="0"/>
    <x v="23"/>
    <x v="2"/>
    <x v="2"/>
    <x v="2"/>
  </r>
  <r>
    <s v="TX500261"/>
    <x v="6"/>
    <x v="2"/>
    <n v="53.4"/>
    <n v="160.19999999999999"/>
    <d v="2025-01-12T00:00:00"/>
    <d v="2025-01-15T00:00:00"/>
    <x v="1"/>
    <x v="3"/>
    <x v="2"/>
    <x v="0"/>
    <x v="36"/>
    <x v="2"/>
    <x v="2"/>
    <x v="1"/>
  </r>
  <r>
    <s v="TX500262"/>
    <x v="6"/>
    <x v="5"/>
    <n v="51.1"/>
    <n v="562.1"/>
    <d v="2025-01-12T00:00:00"/>
    <d v="2025-01-14T00:00:00"/>
    <x v="2"/>
    <x v="2"/>
    <x v="2"/>
    <x v="0"/>
    <x v="8"/>
    <x v="1"/>
    <x v="2"/>
    <x v="2"/>
  </r>
  <r>
    <s v="TX500263"/>
    <x v="8"/>
    <x v="1"/>
    <n v="27.5"/>
    <n v="55"/>
    <d v="2025-01-12T00:00:00"/>
    <d v="2025-01-13T00:00:00"/>
    <x v="1"/>
    <x v="4"/>
    <x v="1"/>
    <x v="0"/>
    <x v="8"/>
    <x v="3"/>
    <x v="2"/>
    <x v="1"/>
  </r>
  <r>
    <s v="TX500264"/>
    <x v="9"/>
    <x v="0"/>
    <n v="33.5"/>
    <n v="33.5"/>
    <d v="2025-01-12T00:00:00"/>
    <d v="2025-01-14T00:00:00"/>
    <x v="2"/>
    <x v="0"/>
    <x v="4"/>
    <x v="0"/>
    <x v="8"/>
    <x v="1"/>
    <x v="2"/>
    <x v="2"/>
  </r>
  <r>
    <s v="TX500265"/>
    <x v="4"/>
    <x v="0"/>
    <n v="59.5"/>
    <n v="59.5"/>
    <d v="2025-01-12T00:00:00"/>
    <d v="2025-01-12T00:00:00"/>
    <x v="1"/>
    <x v="0"/>
    <x v="2"/>
    <x v="0"/>
    <x v="18"/>
    <x v="7"/>
    <x v="2"/>
    <x v="1"/>
  </r>
  <r>
    <s v="TX500266"/>
    <x v="17"/>
    <x v="12"/>
    <n v="23.5"/>
    <n v="94"/>
    <d v="2025-01-12T00:00:00"/>
    <d v="2025-01-13T00:00:00"/>
    <x v="2"/>
    <x v="3"/>
    <x v="3"/>
    <x v="0"/>
    <x v="19"/>
    <x v="3"/>
    <x v="2"/>
    <x v="2"/>
  </r>
  <r>
    <s v="TX500267"/>
    <x v="6"/>
    <x v="0"/>
    <n v="49.7"/>
    <n v="49.7"/>
    <d v="2025-01-12T00:00:00"/>
    <d v="2025-01-13T00:00:00"/>
    <x v="0"/>
    <x v="1"/>
    <x v="2"/>
    <x v="0"/>
    <x v="20"/>
    <x v="3"/>
    <x v="2"/>
    <x v="0"/>
  </r>
  <r>
    <s v="TX500268"/>
    <x v="6"/>
    <x v="12"/>
    <n v="44.2"/>
    <n v="176.8"/>
    <d v="2025-01-12T00:00:00"/>
    <d v="2025-01-15T00:00:00"/>
    <x v="2"/>
    <x v="0"/>
    <x v="2"/>
    <x v="0"/>
    <x v="21"/>
    <x v="2"/>
    <x v="2"/>
    <x v="2"/>
  </r>
  <r>
    <s v="TX500269"/>
    <x v="8"/>
    <x v="0"/>
    <n v="22.1"/>
    <n v="22.1"/>
    <d v="2025-01-12T00:00:00"/>
    <d v="2025-01-16T00:00:00"/>
    <x v="2"/>
    <x v="1"/>
    <x v="1"/>
    <x v="0"/>
    <x v="33"/>
    <x v="5"/>
    <x v="2"/>
    <x v="2"/>
  </r>
  <r>
    <s v="TX500270"/>
    <x v="6"/>
    <x v="2"/>
    <n v="90.9"/>
    <n v="272.70000000000005"/>
    <d v="2025-01-12T00:00:00"/>
    <d v="2025-01-13T00:00:00"/>
    <x v="2"/>
    <x v="2"/>
    <x v="4"/>
    <x v="0"/>
    <x v="3"/>
    <x v="3"/>
    <x v="2"/>
    <x v="2"/>
  </r>
  <r>
    <s v="TX500271"/>
    <x v="8"/>
    <x v="2"/>
    <n v="44.5"/>
    <n v="133.5"/>
    <d v="2025-01-12T00:00:00"/>
    <d v="2025-01-13T00:00:00"/>
    <x v="2"/>
    <x v="1"/>
    <x v="0"/>
    <x v="0"/>
    <x v="3"/>
    <x v="3"/>
    <x v="2"/>
    <x v="2"/>
  </r>
  <r>
    <s v="TX500272"/>
    <x v="9"/>
    <x v="13"/>
    <n v="32.299999999999997"/>
    <n v="193.79999999999998"/>
    <d v="2025-01-12T00:00:00"/>
    <d v="2025-01-16T00:00:00"/>
    <x v="2"/>
    <x v="0"/>
    <x v="0"/>
    <x v="0"/>
    <x v="3"/>
    <x v="5"/>
    <x v="2"/>
    <x v="2"/>
  </r>
  <r>
    <s v="TX500273"/>
    <x v="17"/>
    <x v="2"/>
    <n v="87.5"/>
    <n v="262.5"/>
    <d v="2025-01-12T00:00:00"/>
    <d v="2025-01-13T00:00:00"/>
    <x v="2"/>
    <x v="1"/>
    <x v="1"/>
    <x v="0"/>
    <x v="3"/>
    <x v="3"/>
    <x v="2"/>
    <x v="2"/>
  </r>
  <r>
    <s v="TX500274"/>
    <x v="16"/>
    <x v="9"/>
    <n v="48.7"/>
    <n v="243.5"/>
    <d v="2025-01-12T00:00:00"/>
    <d v="2025-01-13T00:00:00"/>
    <x v="1"/>
    <x v="2"/>
    <x v="0"/>
    <x v="0"/>
    <x v="3"/>
    <x v="3"/>
    <x v="2"/>
    <x v="1"/>
  </r>
  <r>
    <s v="TX500275"/>
    <x v="0"/>
    <x v="9"/>
    <n v="22.5"/>
    <n v="112.5"/>
    <d v="2025-01-12T00:00:00"/>
    <d v="2025-01-13T00:00:00"/>
    <x v="1"/>
    <x v="0"/>
    <x v="0"/>
    <x v="0"/>
    <x v="3"/>
    <x v="3"/>
    <x v="2"/>
    <x v="1"/>
  </r>
  <r>
    <s v="TX500276"/>
    <x v="1"/>
    <x v="8"/>
    <n v="65.900000000000006"/>
    <n v="527.20000000000005"/>
    <d v="2025-01-12T00:00:00"/>
    <d v="2025-01-15T00:00:00"/>
    <x v="2"/>
    <x v="1"/>
    <x v="2"/>
    <x v="0"/>
    <x v="3"/>
    <x v="2"/>
    <x v="2"/>
    <x v="2"/>
  </r>
  <r>
    <s v="TX500277"/>
    <x v="6"/>
    <x v="9"/>
    <n v="41.9"/>
    <n v="209.5"/>
    <d v="2025-01-12T00:00:00"/>
    <d v="2025-01-19T00:00:00"/>
    <x v="0"/>
    <x v="0"/>
    <x v="0"/>
    <x v="0"/>
    <x v="3"/>
    <x v="6"/>
    <x v="2"/>
    <x v="0"/>
  </r>
  <r>
    <s v="TX500278"/>
    <x v="1"/>
    <x v="9"/>
    <n v="67.5"/>
    <n v="337.5"/>
    <d v="2025-01-12T00:00:00"/>
    <d v="2025-01-13T00:00:00"/>
    <x v="2"/>
    <x v="0"/>
    <x v="2"/>
    <x v="0"/>
    <x v="3"/>
    <x v="3"/>
    <x v="2"/>
    <x v="2"/>
  </r>
  <r>
    <s v="TX500279"/>
    <x v="9"/>
    <x v="0"/>
    <n v="60.4"/>
    <n v="60.4"/>
    <d v="2025-01-13T00:00:00"/>
    <d v="2025-01-15T00:00:00"/>
    <x v="2"/>
    <x v="1"/>
    <x v="1"/>
    <x v="0"/>
    <x v="3"/>
    <x v="1"/>
    <x v="2"/>
    <x v="2"/>
  </r>
  <r>
    <s v="TX500280"/>
    <x v="1"/>
    <x v="3"/>
    <n v="30.4"/>
    <n v="212.79999999999998"/>
    <d v="2025-01-13T00:00:00"/>
    <d v="2025-01-16T00:00:00"/>
    <x v="2"/>
    <x v="4"/>
    <x v="0"/>
    <x v="0"/>
    <x v="3"/>
    <x v="2"/>
    <x v="2"/>
    <x v="2"/>
  </r>
  <r>
    <s v="TX500281"/>
    <x v="14"/>
    <x v="1"/>
    <n v="24.5"/>
    <n v="49"/>
    <d v="2025-01-13T00:00:00"/>
    <d v="2025-01-14T00:00:00"/>
    <x v="1"/>
    <x v="3"/>
    <x v="2"/>
    <x v="0"/>
    <x v="3"/>
    <x v="3"/>
    <x v="2"/>
    <x v="1"/>
  </r>
  <r>
    <s v="TX500282"/>
    <x v="2"/>
    <x v="2"/>
    <n v="105.9"/>
    <n v="317.70000000000005"/>
    <d v="2025-01-13T00:00:00"/>
    <d v="2025-01-18T00:00:00"/>
    <x v="1"/>
    <x v="0"/>
    <x v="0"/>
    <x v="0"/>
    <x v="37"/>
    <x v="0"/>
    <x v="2"/>
    <x v="1"/>
  </r>
  <r>
    <s v="TX500283"/>
    <x v="10"/>
    <x v="25"/>
    <n v="25.9"/>
    <n v="621.59999999999991"/>
    <d v="2025-01-13T00:00:00"/>
    <d v="2025-01-14T00:00:00"/>
    <x v="2"/>
    <x v="4"/>
    <x v="0"/>
    <x v="0"/>
    <x v="23"/>
    <x v="3"/>
    <x v="2"/>
    <x v="2"/>
  </r>
  <r>
    <s v="TX500284"/>
    <x v="6"/>
    <x v="2"/>
    <n v="66.8"/>
    <n v="200.39999999999998"/>
    <d v="2025-01-13T00:00:00"/>
    <d v="2025-01-13T00:00:00"/>
    <x v="1"/>
    <x v="0"/>
    <x v="0"/>
    <x v="0"/>
    <x v="23"/>
    <x v="7"/>
    <x v="2"/>
    <x v="1"/>
  </r>
  <r>
    <s v="TX500285"/>
    <x v="6"/>
    <x v="2"/>
    <n v="112.3"/>
    <n v="336.9"/>
    <d v="2025-01-13T00:00:00"/>
    <d v="2025-01-14T00:00:00"/>
    <x v="1"/>
    <x v="2"/>
    <x v="4"/>
    <x v="0"/>
    <x v="6"/>
    <x v="3"/>
    <x v="2"/>
    <x v="1"/>
  </r>
  <r>
    <s v="TX500286"/>
    <x v="1"/>
    <x v="13"/>
    <n v="94.1"/>
    <n v="564.59999999999991"/>
    <d v="2025-01-13T00:00:00"/>
    <d v="2025-01-14T00:00:00"/>
    <x v="2"/>
    <x v="0"/>
    <x v="4"/>
    <x v="0"/>
    <x v="6"/>
    <x v="3"/>
    <x v="2"/>
    <x v="2"/>
  </r>
  <r>
    <s v="TX500287"/>
    <x v="5"/>
    <x v="0"/>
    <n v="40.700000000000003"/>
    <n v="40.700000000000003"/>
    <d v="2025-01-13T00:00:00"/>
    <d v="2025-01-16T00:00:00"/>
    <x v="2"/>
    <x v="2"/>
    <x v="0"/>
    <x v="0"/>
    <x v="6"/>
    <x v="2"/>
    <x v="2"/>
    <x v="2"/>
  </r>
  <r>
    <s v="TX500288"/>
    <x v="3"/>
    <x v="1"/>
    <n v="71.400000000000006"/>
    <n v="142.80000000000001"/>
    <d v="2025-01-13T00:00:00"/>
    <d v="2025-01-14T00:00:00"/>
    <x v="1"/>
    <x v="0"/>
    <x v="0"/>
    <x v="0"/>
    <x v="7"/>
    <x v="3"/>
    <x v="2"/>
    <x v="1"/>
  </r>
  <r>
    <s v="TX500289"/>
    <x v="0"/>
    <x v="16"/>
    <n v="15.6"/>
    <n v="280.8"/>
    <d v="2025-01-13T00:00:00"/>
    <d v="2025-01-14T00:00:00"/>
    <x v="1"/>
    <x v="1"/>
    <x v="3"/>
    <x v="0"/>
    <x v="8"/>
    <x v="3"/>
    <x v="2"/>
    <x v="1"/>
  </r>
  <r>
    <s v="TX500290"/>
    <x v="10"/>
    <x v="12"/>
    <n v="37.799999999999997"/>
    <n v="151.19999999999999"/>
    <d v="2025-01-13T00:00:00"/>
    <d v="2025-01-14T00:00:00"/>
    <x v="1"/>
    <x v="2"/>
    <x v="2"/>
    <x v="0"/>
    <x v="8"/>
    <x v="3"/>
    <x v="2"/>
    <x v="1"/>
  </r>
  <r>
    <s v="TX500291"/>
    <x v="4"/>
    <x v="2"/>
    <n v="28.1"/>
    <n v="84.300000000000011"/>
    <d v="2025-01-13T00:00:00"/>
    <d v="2025-01-17T00:00:00"/>
    <x v="1"/>
    <x v="0"/>
    <x v="0"/>
    <x v="0"/>
    <x v="8"/>
    <x v="5"/>
    <x v="2"/>
    <x v="1"/>
  </r>
  <r>
    <s v="TX500292"/>
    <x v="7"/>
    <x v="13"/>
    <n v="51.4"/>
    <n v="308.39999999999998"/>
    <d v="2025-01-13T00:00:00"/>
    <d v="2025-01-17T00:00:00"/>
    <x v="1"/>
    <x v="0"/>
    <x v="0"/>
    <x v="0"/>
    <x v="8"/>
    <x v="5"/>
    <x v="2"/>
    <x v="1"/>
  </r>
  <r>
    <s v="TX500293"/>
    <x v="7"/>
    <x v="1"/>
    <n v="97.7"/>
    <n v="195.4"/>
    <d v="2025-01-13T00:00:00"/>
    <d v="2025-01-15T00:00:00"/>
    <x v="2"/>
    <x v="4"/>
    <x v="2"/>
    <x v="0"/>
    <x v="17"/>
    <x v="1"/>
    <x v="2"/>
    <x v="2"/>
  </r>
  <r>
    <s v="TX500294"/>
    <x v="1"/>
    <x v="12"/>
    <n v="63.8"/>
    <n v="255.2"/>
    <d v="2025-01-13T00:00:00"/>
    <d v="2025-01-14T00:00:00"/>
    <x v="1"/>
    <x v="2"/>
    <x v="0"/>
    <x v="0"/>
    <x v="38"/>
    <x v="3"/>
    <x v="2"/>
    <x v="1"/>
  </r>
  <r>
    <s v="TX500295"/>
    <x v="13"/>
    <x v="1"/>
    <n v="20.100000000000001"/>
    <n v="40.200000000000003"/>
    <d v="2025-01-13T00:00:00"/>
    <d v="2025-01-15T00:00:00"/>
    <x v="1"/>
    <x v="0"/>
    <x v="2"/>
    <x v="0"/>
    <x v="20"/>
    <x v="1"/>
    <x v="2"/>
    <x v="1"/>
  </r>
  <r>
    <s v="TX500296"/>
    <x v="11"/>
    <x v="2"/>
    <n v="50.4"/>
    <n v="151.19999999999999"/>
    <d v="2025-01-13T00:00:00"/>
    <d v="2025-01-16T00:00:00"/>
    <x v="2"/>
    <x v="3"/>
    <x v="0"/>
    <x v="0"/>
    <x v="13"/>
    <x v="2"/>
    <x v="2"/>
    <x v="2"/>
  </r>
  <r>
    <s v="TX500297"/>
    <x v="0"/>
    <x v="0"/>
    <n v="16.2"/>
    <n v="16.2"/>
    <d v="2025-01-13T00:00:00"/>
    <d v="2025-01-26T00:00:00"/>
    <x v="2"/>
    <x v="1"/>
    <x v="0"/>
    <x v="0"/>
    <x v="1"/>
    <x v="10"/>
    <x v="2"/>
    <x v="2"/>
  </r>
  <r>
    <s v="TX500298"/>
    <x v="6"/>
    <x v="3"/>
    <n v="80.900000000000006"/>
    <n v="566.30000000000007"/>
    <d v="2025-01-13T00:00:00"/>
    <d v="2025-01-15T00:00:00"/>
    <x v="1"/>
    <x v="4"/>
    <x v="4"/>
    <x v="0"/>
    <x v="2"/>
    <x v="1"/>
    <x v="2"/>
    <x v="1"/>
  </r>
  <r>
    <s v="TX500299"/>
    <x v="9"/>
    <x v="13"/>
    <n v="95.2"/>
    <n v="571.20000000000005"/>
    <d v="2025-01-13T00:00:00"/>
    <d v="2025-01-15T00:00:00"/>
    <x v="2"/>
    <x v="0"/>
    <x v="2"/>
    <x v="0"/>
    <x v="2"/>
    <x v="1"/>
    <x v="2"/>
    <x v="2"/>
  </r>
  <r>
    <s v="TX500300"/>
    <x v="5"/>
    <x v="8"/>
    <n v="70.400000000000006"/>
    <n v="563.20000000000005"/>
    <d v="2025-01-13T00:00:00"/>
    <d v="2025-01-14T00:00:00"/>
    <x v="1"/>
    <x v="1"/>
    <x v="1"/>
    <x v="0"/>
    <x v="3"/>
    <x v="3"/>
    <x v="2"/>
    <x v="1"/>
  </r>
  <r>
    <s v="TX500301"/>
    <x v="0"/>
    <x v="9"/>
    <n v="10.7"/>
    <n v="53.5"/>
    <d v="2025-01-13T00:00:00"/>
    <d v="2025-01-17T00:00:00"/>
    <x v="2"/>
    <x v="2"/>
    <x v="0"/>
    <x v="0"/>
    <x v="3"/>
    <x v="5"/>
    <x v="2"/>
    <x v="2"/>
  </r>
  <r>
    <s v="TX500302"/>
    <x v="8"/>
    <x v="9"/>
    <n v="19.600000000000001"/>
    <n v="98"/>
    <d v="2025-01-13T00:00:00"/>
    <d v="2025-01-15T00:00:00"/>
    <x v="2"/>
    <x v="0"/>
    <x v="3"/>
    <x v="0"/>
    <x v="3"/>
    <x v="1"/>
    <x v="2"/>
    <x v="2"/>
  </r>
  <r>
    <s v="TX500303"/>
    <x v="8"/>
    <x v="5"/>
    <n v="34.700000000000003"/>
    <n v="381.70000000000005"/>
    <d v="2025-01-13T00:00:00"/>
    <d v="2025-01-15T00:00:00"/>
    <x v="2"/>
    <x v="0"/>
    <x v="2"/>
    <x v="0"/>
    <x v="3"/>
    <x v="1"/>
    <x v="2"/>
    <x v="2"/>
  </r>
  <r>
    <s v="TX500304"/>
    <x v="10"/>
    <x v="11"/>
    <n v="34.1"/>
    <n v="306.90000000000003"/>
    <d v="2025-01-13T00:00:00"/>
    <d v="2025-01-14T00:00:00"/>
    <x v="2"/>
    <x v="4"/>
    <x v="1"/>
    <x v="0"/>
    <x v="3"/>
    <x v="3"/>
    <x v="2"/>
    <x v="2"/>
  </r>
  <r>
    <s v="TX500305"/>
    <x v="0"/>
    <x v="26"/>
    <n v="29.3"/>
    <n v="1435.7"/>
    <d v="2025-01-13T00:00:00"/>
    <d v="2025-01-13T00:00:00"/>
    <x v="1"/>
    <x v="0"/>
    <x v="1"/>
    <x v="0"/>
    <x v="3"/>
    <x v="7"/>
    <x v="2"/>
    <x v="1"/>
  </r>
  <r>
    <s v="TX500306"/>
    <x v="1"/>
    <x v="0"/>
    <n v="55.2"/>
    <n v="55.2"/>
    <d v="2025-01-13T00:00:00"/>
    <d v="2025-01-14T00:00:00"/>
    <x v="2"/>
    <x v="0"/>
    <x v="1"/>
    <x v="0"/>
    <x v="3"/>
    <x v="3"/>
    <x v="2"/>
    <x v="2"/>
  </r>
  <r>
    <s v="TX500307"/>
    <x v="18"/>
    <x v="2"/>
    <n v="26"/>
    <n v="78"/>
    <d v="2025-01-13T00:00:00"/>
    <d v="2025-01-16T00:00:00"/>
    <x v="2"/>
    <x v="0"/>
    <x v="2"/>
    <x v="0"/>
    <x v="3"/>
    <x v="2"/>
    <x v="2"/>
    <x v="2"/>
  </r>
  <r>
    <s v="TX500308"/>
    <x v="14"/>
    <x v="1"/>
    <n v="14.2"/>
    <n v="28.4"/>
    <d v="2025-01-13T00:00:00"/>
    <d v="2025-01-18T00:00:00"/>
    <x v="2"/>
    <x v="3"/>
    <x v="0"/>
    <x v="0"/>
    <x v="39"/>
    <x v="0"/>
    <x v="2"/>
    <x v="2"/>
  </r>
  <r>
    <s v="TX500309"/>
    <x v="8"/>
    <x v="11"/>
    <n v="22.7"/>
    <n v="204.29999999999998"/>
    <d v="2025-01-14T00:00:00"/>
    <d v="2025-01-15T00:00:00"/>
    <x v="1"/>
    <x v="1"/>
    <x v="0"/>
    <x v="0"/>
    <x v="6"/>
    <x v="3"/>
    <x v="2"/>
    <x v="1"/>
  </r>
  <r>
    <s v="TX500310"/>
    <x v="0"/>
    <x v="20"/>
    <n v="19.8"/>
    <n v="297"/>
    <d v="2025-01-14T00:00:00"/>
    <d v="2025-01-14T00:00:00"/>
    <x v="2"/>
    <x v="0"/>
    <x v="2"/>
    <x v="0"/>
    <x v="6"/>
    <x v="7"/>
    <x v="2"/>
    <x v="2"/>
  </r>
  <r>
    <s v="TX500311"/>
    <x v="0"/>
    <x v="2"/>
    <n v="31.7"/>
    <n v="95.1"/>
    <d v="2025-01-14T00:00:00"/>
    <d v="2025-01-15T00:00:00"/>
    <x v="1"/>
    <x v="2"/>
    <x v="0"/>
    <x v="0"/>
    <x v="6"/>
    <x v="3"/>
    <x v="2"/>
    <x v="1"/>
  </r>
  <r>
    <s v="TX500312"/>
    <x v="8"/>
    <x v="12"/>
    <n v="30.4"/>
    <n v="121.6"/>
    <d v="2025-01-14T00:00:00"/>
    <d v="2025-01-18T00:00:00"/>
    <x v="1"/>
    <x v="0"/>
    <x v="0"/>
    <x v="0"/>
    <x v="6"/>
    <x v="5"/>
    <x v="2"/>
    <x v="1"/>
  </r>
  <r>
    <s v="TX500313"/>
    <x v="0"/>
    <x v="12"/>
    <n v="25.6"/>
    <n v="102.4"/>
    <d v="2025-01-14T00:00:00"/>
    <d v="2025-01-15T00:00:00"/>
    <x v="1"/>
    <x v="3"/>
    <x v="0"/>
    <x v="0"/>
    <x v="8"/>
    <x v="3"/>
    <x v="2"/>
    <x v="1"/>
  </r>
  <r>
    <s v="TX500314"/>
    <x v="5"/>
    <x v="1"/>
    <n v="34.9"/>
    <n v="69.8"/>
    <d v="2025-01-14T00:00:00"/>
    <d v="2025-01-15T00:00:00"/>
    <x v="2"/>
    <x v="2"/>
    <x v="0"/>
    <x v="0"/>
    <x v="9"/>
    <x v="3"/>
    <x v="2"/>
    <x v="2"/>
  </r>
  <r>
    <s v="TX500315"/>
    <x v="7"/>
    <x v="13"/>
    <n v="42.7"/>
    <n v="256.20000000000005"/>
    <d v="2025-01-14T00:00:00"/>
    <d v="2025-01-17T00:00:00"/>
    <x v="1"/>
    <x v="2"/>
    <x v="1"/>
    <x v="0"/>
    <x v="11"/>
    <x v="2"/>
    <x v="2"/>
    <x v="1"/>
  </r>
  <r>
    <s v="TX500316"/>
    <x v="8"/>
    <x v="0"/>
    <n v="23.9"/>
    <n v="23.9"/>
    <d v="2025-01-14T00:00:00"/>
    <d v="2025-01-16T00:00:00"/>
    <x v="2"/>
    <x v="3"/>
    <x v="0"/>
    <x v="0"/>
    <x v="11"/>
    <x v="1"/>
    <x v="2"/>
    <x v="2"/>
  </r>
  <r>
    <s v="TX500317"/>
    <x v="6"/>
    <x v="0"/>
    <n v="124.3"/>
    <n v="124.3"/>
    <d v="2025-01-14T00:00:00"/>
    <d v="2025-01-15T00:00:00"/>
    <x v="0"/>
    <x v="2"/>
    <x v="1"/>
    <x v="0"/>
    <x v="21"/>
    <x v="3"/>
    <x v="2"/>
    <x v="0"/>
  </r>
  <r>
    <s v="TX500318"/>
    <x v="8"/>
    <x v="13"/>
    <n v="35.9"/>
    <n v="215.39999999999998"/>
    <d v="2025-01-14T00:00:00"/>
    <d v="2025-01-15T00:00:00"/>
    <x v="2"/>
    <x v="0"/>
    <x v="1"/>
    <x v="0"/>
    <x v="1"/>
    <x v="3"/>
    <x v="2"/>
    <x v="2"/>
  </r>
  <r>
    <s v="TX500319"/>
    <x v="2"/>
    <x v="1"/>
    <n v="69.099999999999994"/>
    <n v="138.19999999999999"/>
    <d v="2025-01-14T00:00:00"/>
    <d v="2025-01-17T00:00:00"/>
    <x v="2"/>
    <x v="0"/>
    <x v="2"/>
    <x v="0"/>
    <x v="22"/>
    <x v="2"/>
    <x v="2"/>
    <x v="2"/>
  </r>
  <r>
    <s v="TX500320"/>
    <x v="7"/>
    <x v="0"/>
    <n v="58.4"/>
    <n v="58.4"/>
    <d v="2025-01-14T00:00:00"/>
    <d v="2025-01-18T00:00:00"/>
    <x v="1"/>
    <x v="0"/>
    <x v="0"/>
    <x v="0"/>
    <x v="22"/>
    <x v="5"/>
    <x v="2"/>
    <x v="1"/>
  </r>
  <r>
    <s v="TX500321"/>
    <x v="5"/>
    <x v="0"/>
    <n v="65.2"/>
    <n v="65.2"/>
    <d v="2025-01-14T00:00:00"/>
    <d v="2025-01-16T00:00:00"/>
    <x v="3"/>
    <x v="4"/>
    <x v="4"/>
    <x v="0"/>
    <x v="3"/>
    <x v="1"/>
    <x v="2"/>
    <x v="3"/>
  </r>
  <r>
    <s v="TX500322"/>
    <x v="8"/>
    <x v="14"/>
    <n v="32.700000000000003"/>
    <n v="555.90000000000009"/>
    <d v="2025-01-14T00:00:00"/>
    <d v="2025-01-21T00:00:00"/>
    <x v="0"/>
    <x v="4"/>
    <x v="0"/>
    <x v="0"/>
    <x v="3"/>
    <x v="6"/>
    <x v="2"/>
    <x v="0"/>
  </r>
  <r>
    <s v="TX500323"/>
    <x v="10"/>
    <x v="3"/>
    <n v="24.4"/>
    <n v="170.79999999999998"/>
    <d v="2025-01-14T00:00:00"/>
    <d v="2025-01-15T00:00:00"/>
    <x v="2"/>
    <x v="0"/>
    <x v="0"/>
    <x v="0"/>
    <x v="3"/>
    <x v="3"/>
    <x v="2"/>
    <x v="2"/>
  </r>
  <r>
    <s v="TX500324"/>
    <x v="14"/>
    <x v="1"/>
    <n v="50.4"/>
    <n v="100.8"/>
    <d v="2025-01-14T00:00:00"/>
    <d v="2025-01-20T00:00:00"/>
    <x v="1"/>
    <x v="0"/>
    <x v="1"/>
    <x v="0"/>
    <x v="3"/>
    <x v="4"/>
    <x v="2"/>
    <x v="1"/>
  </r>
  <r>
    <s v="TX500325"/>
    <x v="1"/>
    <x v="1"/>
    <n v="100"/>
    <n v="200"/>
    <d v="2025-01-14T00:00:00"/>
    <d v="2025-01-15T00:00:00"/>
    <x v="2"/>
    <x v="0"/>
    <x v="0"/>
    <x v="0"/>
    <x v="3"/>
    <x v="3"/>
    <x v="2"/>
    <x v="2"/>
  </r>
  <r>
    <s v="TX500326"/>
    <x v="10"/>
    <x v="2"/>
    <n v="43"/>
    <n v="129"/>
    <d v="2025-01-15T00:00:00"/>
    <d v="2025-01-15T00:00:00"/>
    <x v="2"/>
    <x v="2"/>
    <x v="1"/>
    <x v="0"/>
    <x v="3"/>
    <x v="7"/>
    <x v="2"/>
    <x v="2"/>
  </r>
  <r>
    <s v="TX500327"/>
    <x v="1"/>
    <x v="9"/>
    <n v="64.400000000000006"/>
    <n v="322"/>
    <d v="2025-01-15T00:00:00"/>
    <d v="2025-01-17T00:00:00"/>
    <x v="1"/>
    <x v="2"/>
    <x v="1"/>
    <x v="0"/>
    <x v="3"/>
    <x v="1"/>
    <x v="2"/>
    <x v="1"/>
  </r>
  <r>
    <s v="TX500328"/>
    <x v="18"/>
    <x v="1"/>
    <n v="57.4"/>
    <n v="114.8"/>
    <d v="2025-01-15T00:00:00"/>
    <d v="2025-01-16T00:00:00"/>
    <x v="1"/>
    <x v="2"/>
    <x v="1"/>
    <x v="0"/>
    <x v="3"/>
    <x v="3"/>
    <x v="2"/>
    <x v="1"/>
  </r>
  <r>
    <s v="TX500329"/>
    <x v="2"/>
    <x v="2"/>
    <n v="55.1"/>
    <n v="165.3"/>
    <d v="2025-01-15T00:00:00"/>
    <d v="2025-01-18T00:00:00"/>
    <x v="2"/>
    <x v="1"/>
    <x v="0"/>
    <x v="0"/>
    <x v="3"/>
    <x v="2"/>
    <x v="2"/>
    <x v="2"/>
  </r>
  <r>
    <s v="TX500330"/>
    <x v="7"/>
    <x v="12"/>
    <n v="45.4"/>
    <n v="181.6"/>
    <d v="2025-01-15T00:00:00"/>
    <d v="2025-01-16T00:00:00"/>
    <x v="2"/>
    <x v="1"/>
    <x v="0"/>
    <x v="0"/>
    <x v="3"/>
    <x v="3"/>
    <x v="2"/>
    <x v="2"/>
  </r>
  <r>
    <s v="TX500331"/>
    <x v="3"/>
    <x v="2"/>
    <n v="93.3"/>
    <n v="279.89999999999998"/>
    <d v="2025-01-15T00:00:00"/>
    <d v="2025-01-16T00:00:00"/>
    <x v="2"/>
    <x v="0"/>
    <x v="0"/>
    <x v="0"/>
    <x v="40"/>
    <x v="3"/>
    <x v="2"/>
    <x v="2"/>
  </r>
  <r>
    <s v="TX500332"/>
    <x v="2"/>
    <x v="10"/>
    <n v="158.19999999999999"/>
    <n v="3005.7999999999997"/>
    <d v="2025-01-15T00:00:00"/>
    <d v="2025-01-16T00:00:00"/>
    <x v="2"/>
    <x v="1"/>
    <x v="2"/>
    <x v="0"/>
    <x v="16"/>
    <x v="3"/>
    <x v="2"/>
    <x v="2"/>
  </r>
  <r>
    <s v="TX500333"/>
    <x v="2"/>
    <x v="1"/>
    <n v="74.900000000000006"/>
    <n v="149.80000000000001"/>
    <d v="2025-01-15T00:00:00"/>
    <d v="2025-01-17T00:00:00"/>
    <x v="1"/>
    <x v="3"/>
    <x v="0"/>
    <x v="0"/>
    <x v="6"/>
    <x v="1"/>
    <x v="2"/>
    <x v="1"/>
  </r>
  <r>
    <s v="TX500334"/>
    <x v="8"/>
    <x v="3"/>
    <n v="26"/>
    <n v="182"/>
    <d v="2025-01-15T00:00:00"/>
    <d v="2025-01-18T00:00:00"/>
    <x v="2"/>
    <x v="1"/>
    <x v="0"/>
    <x v="0"/>
    <x v="8"/>
    <x v="2"/>
    <x v="2"/>
    <x v="2"/>
  </r>
  <r>
    <s v="TX500335"/>
    <x v="9"/>
    <x v="13"/>
    <n v="37.5"/>
    <n v="225"/>
    <d v="2025-01-15T00:00:00"/>
    <d v="2025-01-16T00:00:00"/>
    <x v="2"/>
    <x v="0"/>
    <x v="1"/>
    <x v="0"/>
    <x v="8"/>
    <x v="3"/>
    <x v="2"/>
    <x v="2"/>
  </r>
  <r>
    <s v="TX500336"/>
    <x v="6"/>
    <x v="1"/>
    <n v="75.8"/>
    <n v="151.6"/>
    <d v="2025-01-15T00:00:00"/>
    <d v="2025-01-21T00:00:00"/>
    <x v="1"/>
    <x v="0"/>
    <x v="0"/>
    <x v="0"/>
    <x v="8"/>
    <x v="4"/>
    <x v="2"/>
    <x v="1"/>
  </r>
  <r>
    <s v="TX500337"/>
    <x v="7"/>
    <x v="0"/>
    <n v="48.5"/>
    <n v="48.5"/>
    <d v="2025-01-15T00:00:00"/>
    <d v="2025-01-27T00:00:00"/>
    <x v="0"/>
    <x v="4"/>
    <x v="2"/>
    <x v="0"/>
    <x v="8"/>
    <x v="13"/>
    <x v="2"/>
    <x v="0"/>
  </r>
  <r>
    <s v="TX500338"/>
    <x v="6"/>
    <x v="2"/>
    <n v="98.9"/>
    <n v="296.70000000000005"/>
    <d v="2025-01-15T00:00:00"/>
    <d v="2025-01-17T00:00:00"/>
    <x v="2"/>
    <x v="4"/>
    <x v="1"/>
    <x v="0"/>
    <x v="8"/>
    <x v="1"/>
    <x v="2"/>
    <x v="2"/>
  </r>
  <r>
    <s v="TX500339"/>
    <x v="1"/>
    <x v="4"/>
    <n v="50.9"/>
    <n v="610.79999999999995"/>
    <d v="2025-01-15T00:00:00"/>
    <d v="2025-01-15T00:00:00"/>
    <x v="1"/>
    <x v="4"/>
    <x v="0"/>
    <x v="0"/>
    <x v="8"/>
    <x v="7"/>
    <x v="2"/>
    <x v="1"/>
  </r>
  <r>
    <s v="TX500340"/>
    <x v="12"/>
    <x v="13"/>
    <n v="84.7"/>
    <n v="508.20000000000005"/>
    <d v="2025-01-15T00:00:00"/>
    <d v="2025-01-15T00:00:00"/>
    <x v="2"/>
    <x v="2"/>
    <x v="0"/>
    <x v="0"/>
    <x v="8"/>
    <x v="7"/>
    <x v="2"/>
    <x v="2"/>
  </r>
  <r>
    <s v="TX500341"/>
    <x v="8"/>
    <x v="0"/>
    <n v="20.7"/>
    <n v="20.7"/>
    <d v="2025-01-15T00:00:00"/>
    <d v="2025-01-17T00:00:00"/>
    <x v="2"/>
    <x v="3"/>
    <x v="2"/>
    <x v="0"/>
    <x v="8"/>
    <x v="1"/>
    <x v="2"/>
    <x v="2"/>
  </r>
  <r>
    <s v="TX500342"/>
    <x v="12"/>
    <x v="11"/>
    <n v="57.8"/>
    <n v="520.19999999999993"/>
    <d v="2025-01-15T00:00:00"/>
    <d v="2025-01-26T00:00:00"/>
    <x v="1"/>
    <x v="0"/>
    <x v="4"/>
    <x v="0"/>
    <x v="17"/>
    <x v="11"/>
    <x v="2"/>
    <x v="1"/>
  </r>
  <r>
    <s v="TX500343"/>
    <x v="2"/>
    <x v="1"/>
    <n v="106.9"/>
    <n v="213.8"/>
    <d v="2025-01-15T00:00:00"/>
    <d v="2025-01-17T00:00:00"/>
    <x v="2"/>
    <x v="0"/>
    <x v="2"/>
    <x v="0"/>
    <x v="41"/>
    <x v="1"/>
    <x v="2"/>
    <x v="2"/>
  </r>
  <r>
    <s v="TX500344"/>
    <x v="3"/>
    <x v="9"/>
    <n v="45.2"/>
    <n v="226"/>
    <d v="2025-01-15T00:00:00"/>
    <d v="2025-01-19T00:00:00"/>
    <x v="2"/>
    <x v="1"/>
    <x v="0"/>
    <x v="0"/>
    <x v="21"/>
    <x v="5"/>
    <x v="2"/>
    <x v="2"/>
  </r>
  <r>
    <s v="TX500345"/>
    <x v="8"/>
    <x v="15"/>
    <n v="34.6"/>
    <n v="449.8"/>
    <d v="2025-01-15T00:00:00"/>
    <d v="2025-01-15T00:00:00"/>
    <x v="2"/>
    <x v="1"/>
    <x v="1"/>
    <x v="0"/>
    <x v="21"/>
    <x v="7"/>
    <x v="2"/>
    <x v="2"/>
  </r>
  <r>
    <s v="TX500346"/>
    <x v="15"/>
    <x v="0"/>
    <n v="43.8"/>
    <n v="43.8"/>
    <d v="2025-01-15T00:00:00"/>
    <d v="2025-01-17T00:00:00"/>
    <x v="0"/>
    <x v="0"/>
    <x v="2"/>
    <x v="0"/>
    <x v="21"/>
    <x v="1"/>
    <x v="2"/>
    <x v="0"/>
  </r>
  <r>
    <s v="TX500347"/>
    <x v="15"/>
    <x v="0"/>
    <n v="20.399999999999999"/>
    <n v="20.399999999999999"/>
    <d v="2025-01-15T00:00:00"/>
    <d v="2025-01-17T00:00:00"/>
    <x v="1"/>
    <x v="4"/>
    <x v="1"/>
    <x v="0"/>
    <x v="21"/>
    <x v="1"/>
    <x v="2"/>
    <x v="1"/>
  </r>
  <r>
    <s v="TX500348"/>
    <x v="1"/>
    <x v="0"/>
    <n v="36.700000000000003"/>
    <n v="36.700000000000003"/>
    <d v="2025-01-15T00:00:00"/>
    <d v="2025-01-16T00:00:00"/>
    <x v="1"/>
    <x v="0"/>
    <x v="1"/>
    <x v="0"/>
    <x v="1"/>
    <x v="3"/>
    <x v="2"/>
    <x v="1"/>
  </r>
  <r>
    <s v="TX500349"/>
    <x v="8"/>
    <x v="2"/>
    <n v="27.2"/>
    <n v="81.599999999999994"/>
    <d v="2025-01-15T00:00:00"/>
    <d v="2025-01-19T00:00:00"/>
    <x v="1"/>
    <x v="0"/>
    <x v="2"/>
    <x v="0"/>
    <x v="1"/>
    <x v="5"/>
    <x v="2"/>
    <x v="1"/>
  </r>
  <r>
    <s v="TX500350"/>
    <x v="6"/>
    <x v="0"/>
    <n v="58.2"/>
    <n v="58.2"/>
    <d v="2025-01-15T00:00:00"/>
    <d v="2025-01-16T00:00:00"/>
    <x v="2"/>
    <x v="0"/>
    <x v="2"/>
    <x v="0"/>
    <x v="42"/>
    <x v="3"/>
    <x v="2"/>
    <x v="2"/>
  </r>
  <r>
    <s v="TX500351"/>
    <x v="8"/>
    <x v="2"/>
    <n v="25.6"/>
    <n v="76.800000000000011"/>
    <d v="2025-01-15T00:00:00"/>
    <d v="2025-01-16T00:00:00"/>
    <x v="1"/>
    <x v="4"/>
    <x v="4"/>
    <x v="0"/>
    <x v="2"/>
    <x v="3"/>
    <x v="2"/>
    <x v="1"/>
  </r>
  <r>
    <s v="TX500352"/>
    <x v="10"/>
    <x v="0"/>
    <n v="21.2"/>
    <n v="21.2"/>
    <d v="2025-01-15T00:00:00"/>
    <d v="2025-01-15T00:00:00"/>
    <x v="2"/>
    <x v="1"/>
    <x v="2"/>
    <x v="0"/>
    <x v="3"/>
    <x v="7"/>
    <x v="2"/>
    <x v="2"/>
  </r>
  <r>
    <s v="TX500353"/>
    <x v="6"/>
    <x v="1"/>
    <n v="48.2"/>
    <n v="96.4"/>
    <d v="2025-01-15T00:00:00"/>
    <d v="2025-01-23T00:00:00"/>
    <x v="2"/>
    <x v="0"/>
    <x v="2"/>
    <x v="0"/>
    <x v="3"/>
    <x v="9"/>
    <x v="2"/>
    <x v="2"/>
  </r>
  <r>
    <s v="TX500354"/>
    <x v="1"/>
    <x v="12"/>
    <n v="83.4"/>
    <n v="333.6"/>
    <d v="2025-01-16T00:00:00"/>
    <d v="2025-01-17T00:00:00"/>
    <x v="1"/>
    <x v="0"/>
    <x v="0"/>
    <x v="0"/>
    <x v="3"/>
    <x v="3"/>
    <x v="2"/>
    <x v="1"/>
  </r>
  <r>
    <s v="TX500355"/>
    <x v="9"/>
    <x v="2"/>
    <n v="45.3"/>
    <n v="135.89999999999998"/>
    <d v="2025-01-16T00:00:00"/>
    <d v="2025-01-22T00:00:00"/>
    <x v="1"/>
    <x v="2"/>
    <x v="1"/>
    <x v="0"/>
    <x v="3"/>
    <x v="4"/>
    <x v="2"/>
    <x v="1"/>
  </r>
  <r>
    <s v="TX500356"/>
    <x v="17"/>
    <x v="0"/>
    <n v="42"/>
    <n v="42"/>
    <d v="2025-01-16T00:00:00"/>
    <d v="2025-01-17T00:00:00"/>
    <x v="0"/>
    <x v="0"/>
    <x v="0"/>
    <x v="0"/>
    <x v="3"/>
    <x v="3"/>
    <x v="2"/>
    <x v="0"/>
  </r>
  <r>
    <s v="TX500357"/>
    <x v="0"/>
    <x v="11"/>
    <n v="21.8"/>
    <n v="196.20000000000002"/>
    <d v="2025-01-16T00:00:00"/>
    <d v="2025-01-18T00:00:00"/>
    <x v="2"/>
    <x v="1"/>
    <x v="0"/>
    <x v="0"/>
    <x v="3"/>
    <x v="1"/>
    <x v="2"/>
    <x v="2"/>
  </r>
  <r>
    <s v="TX500358"/>
    <x v="8"/>
    <x v="16"/>
    <n v="21.4"/>
    <n v="385.2"/>
    <d v="2025-01-16T00:00:00"/>
    <d v="2025-01-19T00:00:00"/>
    <x v="2"/>
    <x v="1"/>
    <x v="2"/>
    <x v="0"/>
    <x v="3"/>
    <x v="2"/>
    <x v="2"/>
    <x v="2"/>
  </r>
  <r>
    <s v="TX500359"/>
    <x v="10"/>
    <x v="2"/>
    <n v="45"/>
    <n v="135"/>
    <d v="2025-01-16T00:00:00"/>
    <d v="2025-01-16T00:00:00"/>
    <x v="2"/>
    <x v="1"/>
    <x v="2"/>
    <x v="0"/>
    <x v="3"/>
    <x v="7"/>
    <x v="2"/>
    <x v="2"/>
  </r>
  <r>
    <s v="TX500360"/>
    <x v="14"/>
    <x v="0"/>
    <n v="39.6"/>
    <n v="39.6"/>
    <d v="2025-01-16T00:00:00"/>
    <d v="2025-01-17T00:00:00"/>
    <x v="1"/>
    <x v="0"/>
    <x v="2"/>
    <x v="0"/>
    <x v="3"/>
    <x v="3"/>
    <x v="2"/>
    <x v="1"/>
  </r>
  <r>
    <s v="TX500361"/>
    <x v="12"/>
    <x v="2"/>
    <n v="79.8"/>
    <n v="239.39999999999998"/>
    <d v="2025-01-16T00:00:00"/>
    <d v="2025-01-22T00:00:00"/>
    <x v="2"/>
    <x v="1"/>
    <x v="4"/>
    <x v="0"/>
    <x v="3"/>
    <x v="4"/>
    <x v="2"/>
    <x v="2"/>
  </r>
  <r>
    <s v="TX500362"/>
    <x v="1"/>
    <x v="12"/>
    <n v="63.6"/>
    <n v="254.4"/>
    <d v="2025-01-16T00:00:00"/>
    <d v="2025-01-17T00:00:00"/>
    <x v="3"/>
    <x v="0"/>
    <x v="2"/>
    <x v="0"/>
    <x v="24"/>
    <x v="3"/>
    <x v="2"/>
    <x v="3"/>
  </r>
  <r>
    <s v="TX500363"/>
    <x v="7"/>
    <x v="7"/>
    <n v="92.7"/>
    <n v="927"/>
    <d v="2025-01-16T00:00:00"/>
    <d v="2025-01-20T00:00:00"/>
    <x v="1"/>
    <x v="1"/>
    <x v="2"/>
    <x v="0"/>
    <x v="6"/>
    <x v="5"/>
    <x v="2"/>
    <x v="1"/>
  </r>
  <r>
    <s v="TX500364"/>
    <x v="1"/>
    <x v="12"/>
    <n v="48.4"/>
    <n v="193.6"/>
    <d v="2025-01-16T00:00:00"/>
    <d v="2025-01-18T00:00:00"/>
    <x v="2"/>
    <x v="1"/>
    <x v="2"/>
    <x v="0"/>
    <x v="6"/>
    <x v="1"/>
    <x v="2"/>
    <x v="2"/>
  </r>
  <r>
    <s v="TX500365"/>
    <x v="9"/>
    <x v="8"/>
    <n v="36"/>
    <n v="288"/>
    <d v="2025-01-16T00:00:00"/>
    <d v="2025-01-19T00:00:00"/>
    <x v="1"/>
    <x v="2"/>
    <x v="2"/>
    <x v="0"/>
    <x v="8"/>
    <x v="2"/>
    <x v="2"/>
    <x v="1"/>
  </r>
  <r>
    <s v="TX500366"/>
    <x v="8"/>
    <x v="4"/>
    <n v="27"/>
    <n v="324"/>
    <d v="2025-01-16T00:00:00"/>
    <d v="2025-01-18T00:00:00"/>
    <x v="2"/>
    <x v="2"/>
    <x v="1"/>
    <x v="0"/>
    <x v="8"/>
    <x v="1"/>
    <x v="2"/>
    <x v="2"/>
  </r>
  <r>
    <s v="TX500367"/>
    <x v="2"/>
    <x v="8"/>
    <n v="53.9"/>
    <n v="431.2"/>
    <d v="2025-01-16T00:00:00"/>
    <d v="2025-01-17T00:00:00"/>
    <x v="0"/>
    <x v="0"/>
    <x v="0"/>
    <x v="0"/>
    <x v="8"/>
    <x v="3"/>
    <x v="2"/>
    <x v="0"/>
  </r>
  <r>
    <s v="TX500368"/>
    <x v="3"/>
    <x v="11"/>
    <n v="48.4"/>
    <n v="435.59999999999997"/>
    <d v="2025-01-16T00:00:00"/>
    <d v="2025-01-17T00:00:00"/>
    <x v="2"/>
    <x v="1"/>
    <x v="0"/>
    <x v="0"/>
    <x v="9"/>
    <x v="3"/>
    <x v="2"/>
    <x v="2"/>
  </r>
  <r>
    <s v="TX500369"/>
    <x v="17"/>
    <x v="1"/>
    <n v="49.9"/>
    <n v="99.8"/>
    <d v="2025-01-16T00:00:00"/>
    <d v="2025-01-21T00:00:00"/>
    <x v="1"/>
    <x v="4"/>
    <x v="4"/>
    <x v="0"/>
    <x v="10"/>
    <x v="0"/>
    <x v="2"/>
    <x v="1"/>
  </r>
  <r>
    <s v="TX500370"/>
    <x v="1"/>
    <x v="2"/>
    <n v="51.7"/>
    <n v="155.10000000000002"/>
    <d v="2025-01-16T00:00:00"/>
    <d v="2025-01-17T00:00:00"/>
    <x v="2"/>
    <x v="0"/>
    <x v="2"/>
    <x v="0"/>
    <x v="11"/>
    <x v="3"/>
    <x v="2"/>
    <x v="2"/>
  </r>
  <r>
    <s v="TX500371"/>
    <x v="8"/>
    <x v="2"/>
    <n v="41.8"/>
    <n v="125.39999999999999"/>
    <d v="2025-01-16T00:00:00"/>
    <d v="2025-01-18T00:00:00"/>
    <x v="2"/>
    <x v="2"/>
    <x v="0"/>
    <x v="0"/>
    <x v="18"/>
    <x v="1"/>
    <x v="2"/>
    <x v="2"/>
  </r>
  <r>
    <s v="TX500372"/>
    <x v="4"/>
    <x v="12"/>
    <n v="36.200000000000003"/>
    <n v="144.80000000000001"/>
    <d v="2025-01-17T00:00:00"/>
    <d v="2025-01-18T00:00:00"/>
    <x v="1"/>
    <x v="2"/>
    <x v="2"/>
    <x v="0"/>
    <x v="21"/>
    <x v="3"/>
    <x v="2"/>
    <x v="1"/>
  </r>
  <r>
    <s v="TX500373"/>
    <x v="2"/>
    <x v="0"/>
    <n v="150.9"/>
    <n v="150.9"/>
    <d v="2025-01-17T00:00:00"/>
    <d v="2025-01-27T00:00:00"/>
    <x v="1"/>
    <x v="0"/>
    <x v="0"/>
    <x v="0"/>
    <x v="1"/>
    <x v="14"/>
    <x v="2"/>
    <x v="1"/>
  </r>
  <r>
    <s v="TX500374"/>
    <x v="18"/>
    <x v="12"/>
    <n v="77.599999999999994"/>
    <n v="310.39999999999998"/>
    <d v="2025-01-17T00:00:00"/>
    <d v="2025-01-18T00:00:00"/>
    <x v="0"/>
    <x v="2"/>
    <x v="0"/>
    <x v="0"/>
    <x v="3"/>
    <x v="3"/>
    <x v="2"/>
    <x v="0"/>
  </r>
  <r>
    <s v="TX500375"/>
    <x v="13"/>
    <x v="9"/>
    <n v="65.5"/>
    <n v="327.5"/>
    <d v="2025-01-17T00:00:00"/>
    <d v="2025-01-17T00:00:00"/>
    <x v="1"/>
    <x v="1"/>
    <x v="0"/>
    <x v="0"/>
    <x v="3"/>
    <x v="7"/>
    <x v="2"/>
    <x v="1"/>
  </r>
  <r>
    <s v="TX500376"/>
    <x v="6"/>
    <x v="2"/>
    <n v="90.1"/>
    <n v="270.29999999999995"/>
    <d v="2025-01-17T00:00:00"/>
    <d v="2025-01-19T00:00:00"/>
    <x v="2"/>
    <x v="0"/>
    <x v="0"/>
    <x v="0"/>
    <x v="3"/>
    <x v="1"/>
    <x v="2"/>
    <x v="2"/>
  </r>
  <r>
    <s v="TX500377"/>
    <x v="1"/>
    <x v="1"/>
    <n v="108.3"/>
    <n v="216.6"/>
    <d v="2025-01-17T00:00:00"/>
    <d v="2025-01-20T00:00:00"/>
    <x v="3"/>
    <x v="4"/>
    <x v="0"/>
    <x v="0"/>
    <x v="3"/>
    <x v="2"/>
    <x v="2"/>
    <x v="3"/>
  </r>
  <r>
    <s v="TX500378"/>
    <x v="5"/>
    <x v="2"/>
    <n v="59.9"/>
    <n v="179.7"/>
    <d v="2025-01-17T00:00:00"/>
    <d v="2025-01-21T00:00:00"/>
    <x v="2"/>
    <x v="0"/>
    <x v="0"/>
    <x v="0"/>
    <x v="3"/>
    <x v="5"/>
    <x v="2"/>
    <x v="2"/>
  </r>
  <r>
    <s v="TX500379"/>
    <x v="2"/>
    <x v="14"/>
    <n v="139"/>
    <n v="2363"/>
    <d v="2025-01-17T00:00:00"/>
    <d v="2025-01-19T00:00:00"/>
    <x v="2"/>
    <x v="1"/>
    <x v="4"/>
    <x v="0"/>
    <x v="3"/>
    <x v="1"/>
    <x v="2"/>
    <x v="2"/>
  </r>
  <r>
    <s v="TX500380"/>
    <x v="6"/>
    <x v="2"/>
    <n v="87.3"/>
    <n v="261.89999999999998"/>
    <d v="2025-01-17T00:00:00"/>
    <d v="2025-01-18T00:00:00"/>
    <x v="2"/>
    <x v="0"/>
    <x v="0"/>
    <x v="0"/>
    <x v="3"/>
    <x v="3"/>
    <x v="2"/>
    <x v="2"/>
  </r>
  <r>
    <s v="TX500381"/>
    <x v="11"/>
    <x v="12"/>
    <n v="42.3"/>
    <n v="169.2"/>
    <d v="2025-01-17T00:00:00"/>
    <d v="2025-01-17T00:00:00"/>
    <x v="1"/>
    <x v="0"/>
    <x v="0"/>
    <x v="0"/>
    <x v="3"/>
    <x v="7"/>
    <x v="2"/>
    <x v="1"/>
  </r>
  <r>
    <s v="TX500382"/>
    <x v="14"/>
    <x v="8"/>
    <n v="103.6"/>
    <n v="828.8"/>
    <d v="2025-01-17T00:00:00"/>
    <d v="2025-01-18T00:00:00"/>
    <x v="3"/>
    <x v="0"/>
    <x v="1"/>
    <x v="0"/>
    <x v="3"/>
    <x v="3"/>
    <x v="2"/>
    <x v="3"/>
  </r>
  <r>
    <s v="TX500383"/>
    <x v="6"/>
    <x v="1"/>
    <n v="90.9"/>
    <n v="181.8"/>
    <d v="2025-01-17T00:00:00"/>
    <d v="2025-01-18T00:00:00"/>
    <x v="1"/>
    <x v="1"/>
    <x v="0"/>
    <x v="0"/>
    <x v="6"/>
    <x v="3"/>
    <x v="2"/>
    <x v="1"/>
  </r>
  <r>
    <s v="TX500384"/>
    <x v="9"/>
    <x v="27"/>
    <n v="100.9"/>
    <n v="1614.4"/>
    <d v="2025-01-17T00:00:00"/>
    <d v="2025-01-18T00:00:00"/>
    <x v="2"/>
    <x v="1"/>
    <x v="0"/>
    <x v="0"/>
    <x v="6"/>
    <x v="3"/>
    <x v="2"/>
    <x v="2"/>
  </r>
  <r>
    <s v="TX500385"/>
    <x v="4"/>
    <x v="9"/>
    <n v="36"/>
    <n v="180"/>
    <d v="2025-01-17T00:00:00"/>
    <d v="2025-01-19T00:00:00"/>
    <x v="2"/>
    <x v="1"/>
    <x v="0"/>
    <x v="0"/>
    <x v="7"/>
    <x v="1"/>
    <x v="2"/>
    <x v="2"/>
  </r>
  <r>
    <s v="TX500386"/>
    <x v="6"/>
    <x v="13"/>
    <n v="83.3"/>
    <n v="499.79999999999995"/>
    <d v="2025-01-17T00:00:00"/>
    <d v="2025-01-20T00:00:00"/>
    <x v="0"/>
    <x v="2"/>
    <x v="0"/>
    <x v="0"/>
    <x v="7"/>
    <x v="2"/>
    <x v="2"/>
    <x v="0"/>
  </r>
  <r>
    <s v="TX500387"/>
    <x v="2"/>
    <x v="14"/>
    <n v="60.3"/>
    <n v="1025.0999999999999"/>
    <d v="2025-01-17T00:00:00"/>
    <d v="2025-01-18T00:00:00"/>
    <x v="1"/>
    <x v="2"/>
    <x v="1"/>
    <x v="0"/>
    <x v="7"/>
    <x v="3"/>
    <x v="2"/>
    <x v="1"/>
  </r>
  <r>
    <s v="TX500388"/>
    <x v="2"/>
    <x v="13"/>
    <n v="120.3"/>
    <n v="721.8"/>
    <d v="2025-01-17T00:00:00"/>
    <d v="2025-01-18T00:00:00"/>
    <x v="1"/>
    <x v="2"/>
    <x v="0"/>
    <x v="0"/>
    <x v="8"/>
    <x v="3"/>
    <x v="2"/>
    <x v="1"/>
  </r>
  <r>
    <s v="TX500389"/>
    <x v="4"/>
    <x v="7"/>
    <n v="34"/>
    <n v="340"/>
    <d v="2025-01-17T00:00:00"/>
    <d v="2025-01-21T00:00:00"/>
    <x v="2"/>
    <x v="2"/>
    <x v="0"/>
    <x v="0"/>
    <x v="8"/>
    <x v="5"/>
    <x v="2"/>
    <x v="2"/>
  </r>
  <r>
    <s v="TX500390"/>
    <x v="10"/>
    <x v="9"/>
    <n v="42.6"/>
    <n v="213"/>
    <d v="2025-01-17T00:00:00"/>
    <d v="2025-01-20T00:00:00"/>
    <x v="1"/>
    <x v="1"/>
    <x v="0"/>
    <x v="0"/>
    <x v="8"/>
    <x v="2"/>
    <x v="2"/>
    <x v="1"/>
  </r>
  <r>
    <s v="TX500391"/>
    <x v="5"/>
    <x v="28"/>
    <n v="47.4"/>
    <n v="948"/>
    <d v="2025-01-17T00:00:00"/>
    <d v="2025-01-17T00:00:00"/>
    <x v="2"/>
    <x v="2"/>
    <x v="1"/>
    <x v="0"/>
    <x v="17"/>
    <x v="7"/>
    <x v="2"/>
    <x v="2"/>
  </r>
  <r>
    <s v="TX500392"/>
    <x v="2"/>
    <x v="0"/>
    <n v="74"/>
    <n v="74"/>
    <d v="2025-01-18T00:00:00"/>
    <d v="2025-01-19T00:00:00"/>
    <x v="1"/>
    <x v="1"/>
    <x v="0"/>
    <x v="0"/>
    <x v="11"/>
    <x v="3"/>
    <x v="2"/>
    <x v="1"/>
  </r>
  <r>
    <s v="TX500393"/>
    <x v="2"/>
    <x v="9"/>
    <n v="60.4"/>
    <n v="302"/>
    <d v="2025-01-18T00:00:00"/>
    <d v="2025-01-21T00:00:00"/>
    <x v="2"/>
    <x v="1"/>
    <x v="4"/>
    <x v="0"/>
    <x v="18"/>
    <x v="2"/>
    <x v="2"/>
    <x v="2"/>
  </r>
  <r>
    <s v="TX500394"/>
    <x v="12"/>
    <x v="1"/>
    <n v="69.3"/>
    <n v="138.6"/>
    <d v="2025-01-18T00:00:00"/>
    <d v="2025-01-21T00:00:00"/>
    <x v="1"/>
    <x v="1"/>
    <x v="1"/>
    <x v="0"/>
    <x v="13"/>
    <x v="2"/>
    <x v="2"/>
    <x v="1"/>
  </r>
  <r>
    <s v="TX500395"/>
    <x v="5"/>
    <x v="9"/>
    <n v="81"/>
    <n v="405"/>
    <d v="2025-01-18T00:00:00"/>
    <d v="2025-01-24T00:00:00"/>
    <x v="1"/>
    <x v="3"/>
    <x v="0"/>
    <x v="0"/>
    <x v="21"/>
    <x v="4"/>
    <x v="2"/>
    <x v="1"/>
  </r>
  <r>
    <s v="TX500396"/>
    <x v="15"/>
    <x v="2"/>
    <n v="41.5"/>
    <n v="124.5"/>
    <d v="2025-01-18T00:00:00"/>
    <d v="2025-01-20T00:00:00"/>
    <x v="3"/>
    <x v="1"/>
    <x v="0"/>
    <x v="0"/>
    <x v="21"/>
    <x v="1"/>
    <x v="2"/>
    <x v="3"/>
  </r>
  <r>
    <s v="TX500397"/>
    <x v="18"/>
    <x v="1"/>
    <n v="69.7"/>
    <n v="139.4"/>
    <d v="2025-01-18T00:00:00"/>
    <d v="2025-01-23T00:00:00"/>
    <x v="1"/>
    <x v="1"/>
    <x v="0"/>
    <x v="0"/>
    <x v="21"/>
    <x v="0"/>
    <x v="2"/>
    <x v="1"/>
  </r>
  <r>
    <s v="TX500398"/>
    <x v="2"/>
    <x v="9"/>
    <n v="83.6"/>
    <n v="418"/>
    <d v="2025-01-18T00:00:00"/>
    <d v="2025-01-18T00:00:00"/>
    <x v="2"/>
    <x v="4"/>
    <x v="0"/>
    <x v="0"/>
    <x v="1"/>
    <x v="7"/>
    <x v="2"/>
    <x v="2"/>
  </r>
  <r>
    <s v="TX500399"/>
    <x v="8"/>
    <x v="3"/>
    <n v="21.5"/>
    <n v="150.5"/>
    <d v="2025-01-18T00:00:00"/>
    <d v="2025-01-20T00:00:00"/>
    <x v="1"/>
    <x v="1"/>
    <x v="4"/>
    <x v="0"/>
    <x v="34"/>
    <x v="1"/>
    <x v="2"/>
    <x v="1"/>
  </r>
  <r>
    <s v="TX500400"/>
    <x v="8"/>
    <x v="8"/>
    <n v="28.6"/>
    <n v="228.8"/>
    <d v="2025-01-18T00:00:00"/>
    <d v="2025-01-19T00:00:00"/>
    <x v="1"/>
    <x v="0"/>
    <x v="0"/>
    <x v="0"/>
    <x v="3"/>
    <x v="3"/>
    <x v="2"/>
    <x v="1"/>
  </r>
  <r>
    <s v="TX500401"/>
    <x v="8"/>
    <x v="13"/>
    <n v="18.8"/>
    <n v="112.80000000000001"/>
    <d v="2025-01-18T00:00:00"/>
    <d v="2025-01-21T00:00:00"/>
    <x v="1"/>
    <x v="3"/>
    <x v="2"/>
    <x v="0"/>
    <x v="3"/>
    <x v="2"/>
    <x v="2"/>
    <x v="1"/>
  </r>
  <r>
    <s v="TX500402"/>
    <x v="10"/>
    <x v="12"/>
    <n v="35.1"/>
    <n v="140.4"/>
    <d v="2025-01-18T00:00:00"/>
    <d v="2025-01-18T00:00:00"/>
    <x v="2"/>
    <x v="1"/>
    <x v="1"/>
    <x v="0"/>
    <x v="3"/>
    <x v="7"/>
    <x v="2"/>
    <x v="2"/>
  </r>
  <r>
    <s v="TX500403"/>
    <x v="0"/>
    <x v="1"/>
    <n v="12.7"/>
    <n v="25.4"/>
    <d v="2025-01-18T00:00:00"/>
    <d v="2025-01-20T00:00:00"/>
    <x v="2"/>
    <x v="1"/>
    <x v="2"/>
    <x v="0"/>
    <x v="3"/>
    <x v="1"/>
    <x v="2"/>
    <x v="2"/>
  </r>
  <r>
    <s v="TX500404"/>
    <x v="8"/>
    <x v="9"/>
    <n v="27.4"/>
    <n v="137"/>
    <d v="2025-01-18T00:00:00"/>
    <d v="2025-01-20T00:00:00"/>
    <x v="3"/>
    <x v="0"/>
    <x v="0"/>
    <x v="0"/>
    <x v="3"/>
    <x v="1"/>
    <x v="2"/>
    <x v="3"/>
  </r>
  <r>
    <s v="TX500405"/>
    <x v="10"/>
    <x v="1"/>
    <n v="61.3"/>
    <n v="122.6"/>
    <d v="2025-01-18T00:00:00"/>
    <d v="2025-01-19T00:00:00"/>
    <x v="2"/>
    <x v="1"/>
    <x v="0"/>
    <x v="0"/>
    <x v="6"/>
    <x v="3"/>
    <x v="2"/>
    <x v="2"/>
  </r>
  <r>
    <s v="TX500406"/>
    <x v="8"/>
    <x v="1"/>
    <n v="64.7"/>
    <n v="129.4"/>
    <d v="2025-01-18T00:00:00"/>
    <d v="2025-01-20T00:00:00"/>
    <x v="2"/>
    <x v="3"/>
    <x v="2"/>
    <x v="0"/>
    <x v="6"/>
    <x v="1"/>
    <x v="2"/>
    <x v="2"/>
  </r>
  <r>
    <s v="TX500407"/>
    <x v="7"/>
    <x v="12"/>
    <n v="91.4"/>
    <n v="365.6"/>
    <d v="2025-01-18T00:00:00"/>
    <d v="2025-01-20T00:00:00"/>
    <x v="2"/>
    <x v="0"/>
    <x v="0"/>
    <x v="0"/>
    <x v="8"/>
    <x v="1"/>
    <x v="2"/>
    <x v="2"/>
  </r>
  <r>
    <s v="TX500408"/>
    <x v="0"/>
    <x v="1"/>
    <n v="33.1"/>
    <n v="66.2"/>
    <d v="2025-01-19T00:00:00"/>
    <d v="2025-01-20T00:00:00"/>
    <x v="1"/>
    <x v="0"/>
    <x v="2"/>
    <x v="0"/>
    <x v="8"/>
    <x v="3"/>
    <x v="3"/>
    <x v="1"/>
  </r>
  <r>
    <s v="TX500409"/>
    <x v="3"/>
    <x v="1"/>
    <n v="105.6"/>
    <n v="211.2"/>
    <d v="2025-01-19T00:00:00"/>
    <d v="2025-01-20T00:00:00"/>
    <x v="1"/>
    <x v="2"/>
    <x v="1"/>
    <x v="0"/>
    <x v="8"/>
    <x v="3"/>
    <x v="3"/>
    <x v="1"/>
  </r>
  <r>
    <s v="TX500410"/>
    <x v="10"/>
    <x v="2"/>
    <n v="46.4"/>
    <n v="139.19999999999999"/>
    <d v="2025-01-19T00:00:00"/>
    <d v="2025-01-20T00:00:00"/>
    <x v="1"/>
    <x v="2"/>
    <x v="0"/>
    <x v="0"/>
    <x v="9"/>
    <x v="3"/>
    <x v="3"/>
    <x v="1"/>
  </r>
  <r>
    <s v="TX500411"/>
    <x v="9"/>
    <x v="21"/>
    <n v="35.299999999999997"/>
    <n v="494.19999999999993"/>
    <d v="2025-01-19T00:00:00"/>
    <d v="2025-01-22T00:00:00"/>
    <x v="2"/>
    <x v="4"/>
    <x v="1"/>
    <x v="0"/>
    <x v="11"/>
    <x v="2"/>
    <x v="3"/>
    <x v="2"/>
  </r>
  <r>
    <s v="TX500412"/>
    <x v="0"/>
    <x v="1"/>
    <n v="16.100000000000001"/>
    <n v="32.200000000000003"/>
    <d v="2025-01-19T00:00:00"/>
    <d v="2025-01-21T00:00:00"/>
    <x v="1"/>
    <x v="3"/>
    <x v="2"/>
    <x v="0"/>
    <x v="32"/>
    <x v="1"/>
    <x v="3"/>
    <x v="1"/>
  </r>
  <r>
    <s v="TX500413"/>
    <x v="4"/>
    <x v="1"/>
    <n v="27.9"/>
    <n v="55.8"/>
    <d v="2025-01-19T00:00:00"/>
    <d v="2025-01-22T00:00:00"/>
    <x v="1"/>
    <x v="0"/>
    <x v="0"/>
    <x v="0"/>
    <x v="13"/>
    <x v="2"/>
    <x v="3"/>
    <x v="1"/>
  </r>
  <r>
    <s v="TX500414"/>
    <x v="8"/>
    <x v="0"/>
    <n v="47.1"/>
    <n v="47.1"/>
    <d v="2025-01-19T00:00:00"/>
    <d v="2025-01-27T00:00:00"/>
    <x v="2"/>
    <x v="1"/>
    <x v="0"/>
    <x v="0"/>
    <x v="2"/>
    <x v="9"/>
    <x v="3"/>
    <x v="2"/>
  </r>
  <r>
    <s v="TX500415"/>
    <x v="6"/>
    <x v="1"/>
    <n v="85"/>
    <n v="170"/>
    <d v="2025-01-19T00:00:00"/>
    <d v="2025-01-22T00:00:00"/>
    <x v="0"/>
    <x v="2"/>
    <x v="2"/>
    <x v="0"/>
    <x v="22"/>
    <x v="2"/>
    <x v="3"/>
    <x v="0"/>
  </r>
  <r>
    <s v="TX500416"/>
    <x v="18"/>
    <x v="1"/>
    <n v="89"/>
    <n v="178"/>
    <d v="2025-01-19T00:00:00"/>
    <d v="2025-01-21T00:00:00"/>
    <x v="2"/>
    <x v="0"/>
    <x v="0"/>
    <x v="0"/>
    <x v="3"/>
    <x v="1"/>
    <x v="3"/>
    <x v="2"/>
  </r>
  <r>
    <s v="TX500417"/>
    <x v="16"/>
    <x v="2"/>
    <n v="36.6"/>
    <n v="109.80000000000001"/>
    <d v="2025-01-19T00:00:00"/>
    <d v="2025-01-20T00:00:00"/>
    <x v="3"/>
    <x v="3"/>
    <x v="2"/>
    <x v="0"/>
    <x v="3"/>
    <x v="3"/>
    <x v="3"/>
    <x v="3"/>
  </r>
  <r>
    <s v="TX500418"/>
    <x v="6"/>
    <x v="3"/>
    <n v="43.5"/>
    <n v="304.5"/>
    <d v="2025-01-19T00:00:00"/>
    <d v="2025-01-20T00:00:00"/>
    <x v="1"/>
    <x v="1"/>
    <x v="2"/>
    <x v="0"/>
    <x v="3"/>
    <x v="3"/>
    <x v="3"/>
    <x v="1"/>
  </r>
  <r>
    <s v="TX500419"/>
    <x v="9"/>
    <x v="10"/>
    <n v="30.5"/>
    <n v="579.5"/>
    <d v="2025-01-19T00:00:00"/>
    <d v="2025-01-19T00:00:00"/>
    <x v="2"/>
    <x v="3"/>
    <x v="0"/>
    <x v="0"/>
    <x v="3"/>
    <x v="7"/>
    <x v="3"/>
    <x v="2"/>
  </r>
  <r>
    <s v="TX500420"/>
    <x v="1"/>
    <x v="1"/>
    <n v="107.7"/>
    <n v="215.4"/>
    <d v="2025-01-19T00:00:00"/>
    <d v="2025-01-23T00:00:00"/>
    <x v="1"/>
    <x v="3"/>
    <x v="4"/>
    <x v="0"/>
    <x v="3"/>
    <x v="5"/>
    <x v="3"/>
    <x v="1"/>
  </r>
  <r>
    <s v="TX500421"/>
    <x v="17"/>
    <x v="18"/>
    <n v="57.1"/>
    <n v="1484.6000000000001"/>
    <d v="2025-01-19T00:00:00"/>
    <d v="2025-01-20T00:00:00"/>
    <x v="1"/>
    <x v="1"/>
    <x v="0"/>
    <x v="0"/>
    <x v="3"/>
    <x v="3"/>
    <x v="3"/>
    <x v="1"/>
  </r>
  <r>
    <s v="TX500422"/>
    <x v="2"/>
    <x v="7"/>
    <n v="111.7"/>
    <n v="1117"/>
    <d v="2025-01-19T00:00:00"/>
    <d v="2025-01-20T00:00:00"/>
    <x v="2"/>
    <x v="4"/>
    <x v="2"/>
    <x v="0"/>
    <x v="3"/>
    <x v="3"/>
    <x v="3"/>
    <x v="2"/>
  </r>
  <r>
    <s v="TX500423"/>
    <x v="18"/>
    <x v="3"/>
    <n v="44.3"/>
    <n v="310.09999999999997"/>
    <d v="2025-01-19T00:00:00"/>
    <d v="2025-01-22T00:00:00"/>
    <x v="1"/>
    <x v="3"/>
    <x v="2"/>
    <x v="0"/>
    <x v="3"/>
    <x v="2"/>
    <x v="3"/>
    <x v="1"/>
  </r>
  <r>
    <s v="TX500424"/>
    <x v="2"/>
    <x v="8"/>
    <n v="95.8"/>
    <n v="766.4"/>
    <d v="2025-01-19T00:00:00"/>
    <d v="2025-01-25T00:00:00"/>
    <x v="3"/>
    <x v="0"/>
    <x v="0"/>
    <x v="0"/>
    <x v="3"/>
    <x v="4"/>
    <x v="3"/>
    <x v="3"/>
  </r>
  <r>
    <s v="TX500425"/>
    <x v="10"/>
    <x v="3"/>
    <n v="22.6"/>
    <n v="158.20000000000002"/>
    <d v="2025-01-19T00:00:00"/>
    <d v="2025-01-22T00:00:00"/>
    <x v="2"/>
    <x v="3"/>
    <x v="1"/>
    <x v="0"/>
    <x v="3"/>
    <x v="2"/>
    <x v="3"/>
    <x v="2"/>
  </r>
  <r>
    <s v="TX500426"/>
    <x v="8"/>
    <x v="8"/>
    <n v="25.6"/>
    <n v="204.8"/>
    <d v="2025-01-19T00:00:00"/>
    <d v="2025-01-21T00:00:00"/>
    <x v="2"/>
    <x v="4"/>
    <x v="0"/>
    <x v="0"/>
    <x v="3"/>
    <x v="1"/>
    <x v="3"/>
    <x v="2"/>
  </r>
  <r>
    <s v="TX500427"/>
    <x v="6"/>
    <x v="27"/>
    <n v="54.3"/>
    <n v="868.8"/>
    <d v="2025-01-19T00:00:00"/>
    <d v="2025-01-22T00:00:00"/>
    <x v="2"/>
    <x v="4"/>
    <x v="0"/>
    <x v="0"/>
    <x v="3"/>
    <x v="2"/>
    <x v="3"/>
    <x v="2"/>
  </r>
  <r>
    <s v="TX500428"/>
    <x v="18"/>
    <x v="15"/>
    <n v="51.3"/>
    <n v="666.9"/>
    <d v="2025-01-19T00:00:00"/>
    <d v="2025-01-21T00:00:00"/>
    <x v="1"/>
    <x v="0"/>
    <x v="2"/>
    <x v="0"/>
    <x v="3"/>
    <x v="1"/>
    <x v="3"/>
    <x v="1"/>
  </r>
  <r>
    <s v="TX500429"/>
    <x v="0"/>
    <x v="8"/>
    <n v="25.6"/>
    <n v="204.8"/>
    <d v="2025-01-19T00:00:00"/>
    <d v="2025-01-20T00:00:00"/>
    <x v="2"/>
    <x v="1"/>
    <x v="1"/>
    <x v="0"/>
    <x v="3"/>
    <x v="3"/>
    <x v="3"/>
    <x v="2"/>
  </r>
  <r>
    <s v="TX500430"/>
    <x v="0"/>
    <x v="1"/>
    <n v="15.6"/>
    <n v="31.2"/>
    <d v="2025-01-19T00:00:00"/>
    <d v="2025-01-20T00:00:00"/>
    <x v="2"/>
    <x v="2"/>
    <x v="2"/>
    <x v="0"/>
    <x v="3"/>
    <x v="3"/>
    <x v="3"/>
    <x v="2"/>
  </r>
  <r>
    <s v="TX500431"/>
    <x v="8"/>
    <x v="2"/>
    <n v="30.3"/>
    <n v="90.9"/>
    <d v="2025-01-19T00:00:00"/>
    <d v="2025-01-23T00:00:00"/>
    <x v="2"/>
    <x v="0"/>
    <x v="1"/>
    <x v="0"/>
    <x v="3"/>
    <x v="5"/>
    <x v="3"/>
    <x v="2"/>
  </r>
  <r>
    <s v="TX500432"/>
    <x v="12"/>
    <x v="1"/>
    <n v="30.3"/>
    <n v="60.6"/>
    <d v="2025-01-19T00:00:00"/>
    <d v="2025-01-24T00:00:00"/>
    <x v="2"/>
    <x v="0"/>
    <x v="2"/>
    <x v="0"/>
    <x v="37"/>
    <x v="0"/>
    <x v="3"/>
    <x v="2"/>
  </r>
  <r>
    <s v="TX500433"/>
    <x v="10"/>
    <x v="2"/>
    <n v="53"/>
    <n v="159"/>
    <d v="2025-01-19T00:00:00"/>
    <d v="2025-01-26T00:00:00"/>
    <x v="2"/>
    <x v="2"/>
    <x v="0"/>
    <x v="0"/>
    <x v="24"/>
    <x v="6"/>
    <x v="3"/>
    <x v="2"/>
  </r>
  <r>
    <s v="TX500434"/>
    <x v="5"/>
    <x v="16"/>
    <n v="59.9"/>
    <n v="1078.2"/>
    <d v="2025-01-19T00:00:00"/>
    <d v="2025-01-22T00:00:00"/>
    <x v="1"/>
    <x v="2"/>
    <x v="4"/>
    <x v="0"/>
    <x v="25"/>
    <x v="2"/>
    <x v="3"/>
    <x v="1"/>
  </r>
  <r>
    <s v="TX500435"/>
    <x v="9"/>
    <x v="1"/>
    <n v="45.7"/>
    <n v="91.4"/>
    <d v="2025-01-19T00:00:00"/>
    <d v="2025-01-20T00:00:00"/>
    <x v="2"/>
    <x v="1"/>
    <x v="2"/>
    <x v="0"/>
    <x v="6"/>
    <x v="3"/>
    <x v="3"/>
    <x v="2"/>
  </r>
  <r>
    <s v="TX500436"/>
    <x v="8"/>
    <x v="12"/>
    <n v="46.1"/>
    <n v="184.4"/>
    <d v="2025-01-19T00:00:00"/>
    <d v="2025-01-20T00:00:00"/>
    <x v="1"/>
    <x v="0"/>
    <x v="0"/>
    <x v="0"/>
    <x v="6"/>
    <x v="3"/>
    <x v="3"/>
    <x v="1"/>
  </r>
  <r>
    <s v="TX500437"/>
    <x v="8"/>
    <x v="2"/>
    <n v="17.5"/>
    <n v="52.5"/>
    <d v="2025-01-19T00:00:00"/>
    <d v="2025-01-20T00:00:00"/>
    <x v="2"/>
    <x v="0"/>
    <x v="2"/>
    <x v="0"/>
    <x v="8"/>
    <x v="3"/>
    <x v="3"/>
    <x v="2"/>
  </r>
  <r>
    <s v="TX500438"/>
    <x v="10"/>
    <x v="2"/>
    <n v="36.5"/>
    <n v="109.5"/>
    <d v="2025-01-19T00:00:00"/>
    <d v="2025-01-30T00:00:00"/>
    <x v="1"/>
    <x v="2"/>
    <x v="0"/>
    <x v="0"/>
    <x v="8"/>
    <x v="11"/>
    <x v="3"/>
    <x v="1"/>
  </r>
  <r>
    <s v="TX500439"/>
    <x v="8"/>
    <x v="1"/>
    <n v="47.5"/>
    <n v="95"/>
    <d v="2025-01-20T00:00:00"/>
    <d v="2025-01-22T00:00:00"/>
    <x v="2"/>
    <x v="1"/>
    <x v="0"/>
    <x v="0"/>
    <x v="8"/>
    <x v="1"/>
    <x v="3"/>
    <x v="2"/>
  </r>
  <r>
    <s v="TX500440"/>
    <x v="6"/>
    <x v="9"/>
    <n v="45.6"/>
    <n v="228"/>
    <d v="2025-01-20T00:00:00"/>
    <d v="2025-01-22T00:00:00"/>
    <x v="2"/>
    <x v="0"/>
    <x v="2"/>
    <x v="0"/>
    <x v="8"/>
    <x v="1"/>
    <x v="3"/>
    <x v="2"/>
  </r>
  <r>
    <s v="TX500441"/>
    <x v="9"/>
    <x v="1"/>
    <n v="50.5"/>
    <n v="101"/>
    <d v="2025-01-20T00:00:00"/>
    <d v="2025-01-22T00:00:00"/>
    <x v="1"/>
    <x v="0"/>
    <x v="1"/>
    <x v="0"/>
    <x v="17"/>
    <x v="1"/>
    <x v="3"/>
    <x v="1"/>
  </r>
  <r>
    <s v="TX500442"/>
    <x v="2"/>
    <x v="7"/>
    <n v="99.8"/>
    <n v="998"/>
    <d v="2025-01-20T00:00:00"/>
    <d v="2025-01-23T00:00:00"/>
    <x v="2"/>
    <x v="2"/>
    <x v="1"/>
    <x v="0"/>
    <x v="17"/>
    <x v="2"/>
    <x v="3"/>
    <x v="2"/>
  </r>
  <r>
    <s v="TX500443"/>
    <x v="8"/>
    <x v="20"/>
    <n v="19.2"/>
    <n v="288"/>
    <d v="2025-01-20T00:00:00"/>
    <d v="2025-01-22T00:00:00"/>
    <x v="3"/>
    <x v="4"/>
    <x v="1"/>
    <x v="0"/>
    <x v="26"/>
    <x v="1"/>
    <x v="3"/>
    <x v="3"/>
  </r>
  <r>
    <s v="TX500444"/>
    <x v="17"/>
    <x v="2"/>
    <n v="22.6"/>
    <n v="67.800000000000011"/>
    <d v="2025-01-20T00:00:00"/>
    <d v="2025-01-21T00:00:00"/>
    <x v="1"/>
    <x v="1"/>
    <x v="0"/>
    <x v="0"/>
    <x v="11"/>
    <x v="3"/>
    <x v="3"/>
    <x v="1"/>
  </r>
  <r>
    <s v="TX500445"/>
    <x v="1"/>
    <x v="20"/>
    <n v="126.9"/>
    <n v="1903.5"/>
    <d v="2025-01-20T00:00:00"/>
    <d v="2025-01-22T00:00:00"/>
    <x v="2"/>
    <x v="0"/>
    <x v="2"/>
    <x v="0"/>
    <x v="11"/>
    <x v="1"/>
    <x v="3"/>
    <x v="2"/>
  </r>
  <r>
    <s v="TX500446"/>
    <x v="2"/>
    <x v="1"/>
    <n v="100.3"/>
    <n v="200.6"/>
    <d v="2025-01-20T00:00:00"/>
    <d v="2025-01-21T00:00:00"/>
    <x v="2"/>
    <x v="0"/>
    <x v="1"/>
    <x v="0"/>
    <x v="11"/>
    <x v="3"/>
    <x v="3"/>
    <x v="2"/>
  </r>
  <r>
    <s v="TX500447"/>
    <x v="4"/>
    <x v="16"/>
    <n v="24.6"/>
    <n v="442.8"/>
    <d v="2025-01-20T00:00:00"/>
    <d v="2025-01-21T00:00:00"/>
    <x v="2"/>
    <x v="4"/>
    <x v="0"/>
    <x v="0"/>
    <x v="13"/>
    <x v="3"/>
    <x v="3"/>
    <x v="2"/>
  </r>
  <r>
    <s v="TX500448"/>
    <x v="6"/>
    <x v="1"/>
    <n v="47.3"/>
    <n v="94.6"/>
    <d v="2025-01-20T00:00:00"/>
    <d v="2025-01-21T00:00:00"/>
    <x v="1"/>
    <x v="1"/>
    <x v="2"/>
    <x v="0"/>
    <x v="13"/>
    <x v="3"/>
    <x v="3"/>
    <x v="1"/>
  </r>
  <r>
    <s v="TX500449"/>
    <x v="6"/>
    <x v="3"/>
    <n v="40.799999999999997"/>
    <n v="285.59999999999997"/>
    <d v="2025-01-20T00:00:00"/>
    <d v="2025-01-23T00:00:00"/>
    <x v="2"/>
    <x v="2"/>
    <x v="2"/>
    <x v="0"/>
    <x v="21"/>
    <x v="2"/>
    <x v="3"/>
    <x v="2"/>
  </r>
  <r>
    <s v="TX500450"/>
    <x v="8"/>
    <x v="8"/>
    <n v="49.2"/>
    <n v="393.6"/>
    <d v="2025-01-20T00:00:00"/>
    <d v="2025-01-22T00:00:00"/>
    <x v="2"/>
    <x v="0"/>
    <x v="0"/>
    <x v="0"/>
    <x v="1"/>
    <x v="1"/>
    <x v="3"/>
    <x v="2"/>
  </r>
  <r>
    <s v="TX500451"/>
    <x v="8"/>
    <x v="0"/>
    <n v="28.5"/>
    <n v="28.5"/>
    <d v="2025-01-20T00:00:00"/>
    <d v="2025-01-22T00:00:00"/>
    <x v="0"/>
    <x v="2"/>
    <x v="1"/>
    <x v="0"/>
    <x v="3"/>
    <x v="1"/>
    <x v="3"/>
    <x v="0"/>
  </r>
  <r>
    <s v="TX500452"/>
    <x v="18"/>
    <x v="1"/>
    <n v="36.799999999999997"/>
    <n v="73.599999999999994"/>
    <d v="2025-01-20T00:00:00"/>
    <d v="2025-01-26T00:00:00"/>
    <x v="2"/>
    <x v="0"/>
    <x v="2"/>
    <x v="0"/>
    <x v="3"/>
    <x v="4"/>
    <x v="3"/>
    <x v="2"/>
  </r>
  <r>
    <s v="TX500453"/>
    <x v="7"/>
    <x v="2"/>
    <n v="33.5"/>
    <n v="100.5"/>
    <d v="2025-01-20T00:00:00"/>
    <d v="2025-01-21T00:00:00"/>
    <x v="2"/>
    <x v="0"/>
    <x v="1"/>
    <x v="0"/>
    <x v="3"/>
    <x v="3"/>
    <x v="3"/>
    <x v="2"/>
  </r>
  <r>
    <s v="TX500454"/>
    <x v="6"/>
    <x v="13"/>
    <n v="62.5"/>
    <n v="375"/>
    <d v="2025-01-20T00:00:00"/>
    <d v="2025-01-22T00:00:00"/>
    <x v="2"/>
    <x v="0"/>
    <x v="0"/>
    <x v="0"/>
    <x v="3"/>
    <x v="1"/>
    <x v="3"/>
    <x v="2"/>
  </r>
  <r>
    <s v="TX500455"/>
    <x v="8"/>
    <x v="29"/>
    <n v="47.9"/>
    <n v="1916"/>
    <d v="2025-01-20T00:00:00"/>
    <d v="2025-01-21T00:00:00"/>
    <x v="2"/>
    <x v="3"/>
    <x v="0"/>
    <x v="0"/>
    <x v="3"/>
    <x v="3"/>
    <x v="3"/>
    <x v="2"/>
  </r>
  <r>
    <s v="TX500456"/>
    <x v="6"/>
    <x v="13"/>
    <n v="92.9"/>
    <n v="557.40000000000009"/>
    <d v="2025-01-20T00:00:00"/>
    <d v="2025-01-31T00:00:00"/>
    <x v="2"/>
    <x v="0"/>
    <x v="4"/>
    <x v="0"/>
    <x v="3"/>
    <x v="11"/>
    <x v="3"/>
    <x v="2"/>
  </r>
  <r>
    <s v="TX500457"/>
    <x v="12"/>
    <x v="2"/>
    <n v="44.1"/>
    <n v="132.30000000000001"/>
    <d v="2025-01-20T00:00:00"/>
    <d v="2025-01-20T00:00:00"/>
    <x v="2"/>
    <x v="1"/>
    <x v="1"/>
    <x v="0"/>
    <x v="43"/>
    <x v="7"/>
    <x v="3"/>
    <x v="2"/>
  </r>
  <r>
    <s v="TX500458"/>
    <x v="0"/>
    <x v="0"/>
    <n v="11.4"/>
    <n v="11.4"/>
    <d v="2025-01-21T00:00:00"/>
    <d v="2025-01-23T00:00:00"/>
    <x v="2"/>
    <x v="2"/>
    <x v="0"/>
    <x v="0"/>
    <x v="5"/>
    <x v="1"/>
    <x v="3"/>
    <x v="2"/>
  </r>
  <r>
    <s v="TX500459"/>
    <x v="6"/>
    <x v="0"/>
    <n v="83.7"/>
    <n v="83.7"/>
    <d v="2025-01-21T00:00:00"/>
    <d v="2025-01-23T00:00:00"/>
    <x v="2"/>
    <x v="0"/>
    <x v="2"/>
    <x v="0"/>
    <x v="6"/>
    <x v="1"/>
    <x v="3"/>
    <x v="2"/>
  </r>
  <r>
    <s v="TX500460"/>
    <x v="10"/>
    <x v="1"/>
    <n v="23.2"/>
    <n v="46.4"/>
    <d v="2025-01-21T00:00:00"/>
    <d v="2025-01-22T00:00:00"/>
    <x v="1"/>
    <x v="2"/>
    <x v="0"/>
    <x v="0"/>
    <x v="8"/>
    <x v="3"/>
    <x v="3"/>
    <x v="1"/>
  </r>
  <r>
    <s v="TX500461"/>
    <x v="2"/>
    <x v="0"/>
    <n v="162.1"/>
    <n v="162.1"/>
    <d v="2025-01-21T00:00:00"/>
    <d v="2025-01-24T00:00:00"/>
    <x v="2"/>
    <x v="0"/>
    <x v="2"/>
    <x v="0"/>
    <x v="9"/>
    <x v="2"/>
    <x v="3"/>
    <x v="2"/>
  </r>
  <r>
    <s v="TX500462"/>
    <x v="6"/>
    <x v="12"/>
    <n v="49.2"/>
    <n v="196.8"/>
    <d v="2025-01-21T00:00:00"/>
    <d v="2025-01-25T00:00:00"/>
    <x v="1"/>
    <x v="1"/>
    <x v="0"/>
    <x v="0"/>
    <x v="9"/>
    <x v="5"/>
    <x v="3"/>
    <x v="1"/>
  </r>
  <r>
    <s v="TX500463"/>
    <x v="1"/>
    <x v="1"/>
    <n v="61"/>
    <n v="122"/>
    <d v="2025-01-21T00:00:00"/>
    <d v="2025-01-22T00:00:00"/>
    <x v="1"/>
    <x v="3"/>
    <x v="0"/>
    <x v="0"/>
    <x v="10"/>
    <x v="3"/>
    <x v="3"/>
    <x v="1"/>
  </r>
  <r>
    <s v="TX500464"/>
    <x v="2"/>
    <x v="7"/>
    <n v="53.1"/>
    <n v="531"/>
    <d v="2025-01-21T00:00:00"/>
    <d v="2025-01-23T00:00:00"/>
    <x v="1"/>
    <x v="0"/>
    <x v="0"/>
    <x v="0"/>
    <x v="11"/>
    <x v="1"/>
    <x v="3"/>
    <x v="1"/>
  </r>
  <r>
    <s v="TX500465"/>
    <x v="4"/>
    <x v="1"/>
    <n v="22.4"/>
    <n v="44.8"/>
    <d v="2025-01-21T00:00:00"/>
    <d v="2025-01-23T00:00:00"/>
    <x v="0"/>
    <x v="1"/>
    <x v="2"/>
    <x v="0"/>
    <x v="13"/>
    <x v="1"/>
    <x v="3"/>
    <x v="0"/>
  </r>
  <r>
    <s v="TX500466"/>
    <x v="1"/>
    <x v="9"/>
    <n v="75.3"/>
    <n v="376.5"/>
    <d v="2025-01-21T00:00:00"/>
    <d v="2025-01-22T00:00:00"/>
    <x v="1"/>
    <x v="0"/>
    <x v="0"/>
    <x v="0"/>
    <x v="21"/>
    <x v="3"/>
    <x v="3"/>
    <x v="1"/>
  </r>
  <r>
    <s v="TX500467"/>
    <x v="6"/>
    <x v="0"/>
    <n v="48.5"/>
    <n v="48.5"/>
    <d v="2025-01-21T00:00:00"/>
    <d v="2025-01-22T00:00:00"/>
    <x v="2"/>
    <x v="0"/>
    <x v="1"/>
    <x v="0"/>
    <x v="21"/>
    <x v="3"/>
    <x v="3"/>
    <x v="2"/>
  </r>
  <r>
    <s v="TX500468"/>
    <x v="6"/>
    <x v="0"/>
    <n v="42.6"/>
    <n v="42.6"/>
    <d v="2025-01-21T00:00:00"/>
    <d v="2025-01-25T00:00:00"/>
    <x v="2"/>
    <x v="3"/>
    <x v="0"/>
    <x v="0"/>
    <x v="1"/>
    <x v="5"/>
    <x v="3"/>
    <x v="2"/>
  </r>
  <r>
    <s v="TX500469"/>
    <x v="5"/>
    <x v="9"/>
    <n v="49"/>
    <n v="245"/>
    <d v="2025-01-21T00:00:00"/>
    <d v="2025-01-22T00:00:00"/>
    <x v="1"/>
    <x v="0"/>
    <x v="0"/>
    <x v="0"/>
    <x v="22"/>
    <x v="3"/>
    <x v="3"/>
    <x v="1"/>
  </r>
  <r>
    <s v="TX500470"/>
    <x v="8"/>
    <x v="2"/>
    <n v="31.3"/>
    <n v="93.9"/>
    <d v="2025-01-21T00:00:00"/>
    <d v="2025-01-22T00:00:00"/>
    <x v="1"/>
    <x v="2"/>
    <x v="1"/>
    <x v="0"/>
    <x v="3"/>
    <x v="3"/>
    <x v="3"/>
    <x v="1"/>
  </r>
  <r>
    <s v="TX500471"/>
    <x v="2"/>
    <x v="1"/>
    <n v="85.4"/>
    <n v="170.8"/>
    <d v="2025-01-21T00:00:00"/>
    <d v="2025-01-22T00:00:00"/>
    <x v="2"/>
    <x v="2"/>
    <x v="0"/>
    <x v="0"/>
    <x v="3"/>
    <x v="3"/>
    <x v="3"/>
    <x v="2"/>
  </r>
  <r>
    <s v="TX500472"/>
    <x v="8"/>
    <x v="12"/>
    <n v="40"/>
    <n v="160"/>
    <d v="2025-01-21T00:00:00"/>
    <d v="2025-01-22T00:00:00"/>
    <x v="3"/>
    <x v="0"/>
    <x v="2"/>
    <x v="0"/>
    <x v="3"/>
    <x v="3"/>
    <x v="3"/>
    <x v="3"/>
  </r>
  <r>
    <s v="TX500473"/>
    <x v="5"/>
    <x v="1"/>
    <n v="38.5"/>
    <n v="77"/>
    <d v="2025-01-21T00:00:00"/>
    <d v="2025-01-24T00:00:00"/>
    <x v="1"/>
    <x v="1"/>
    <x v="2"/>
    <x v="0"/>
    <x v="3"/>
    <x v="2"/>
    <x v="3"/>
    <x v="1"/>
  </r>
  <r>
    <s v="TX500474"/>
    <x v="2"/>
    <x v="1"/>
    <n v="57.8"/>
    <n v="115.6"/>
    <d v="2025-01-21T00:00:00"/>
    <d v="2025-01-22T00:00:00"/>
    <x v="0"/>
    <x v="0"/>
    <x v="0"/>
    <x v="0"/>
    <x v="3"/>
    <x v="3"/>
    <x v="3"/>
    <x v="0"/>
  </r>
  <r>
    <s v="TX500475"/>
    <x v="8"/>
    <x v="0"/>
    <n v="19.2"/>
    <n v="19.2"/>
    <d v="2025-01-21T00:00:00"/>
    <d v="2025-01-22T00:00:00"/>
    <x v="2"/>
    <x v="0"/>
    <x v="4"/>
    <x v="0"/>
    <x v="3"/>
    <x v="3"/>
    <x v="3"/>
    <x v="2"/>
  </r>
  <r>
    <s v="TX500476"/>
    <x v="6"/>
    <x v="13"/>
    <n v="114.8"/>
    <n v="688.8"/>
    <d v="2025-01-21T00:00:00"/>
    <d v="2025-01-24T00:00:00"/>
    <x v="1"/>
    <x v="1"/>
    <x v="1"/>
    <x v="0"/>
    <x v="3"/>
    <x v="2"/>
    <x v="3"/>
    <x v="1"/>
  </r>
  <r>
    <s v="TX500477"/>
    <x v="10"/>
    <x v="3"/>
    <n v="48.4"/>
    <n v="338.8"/>
    <d v="2025-01-21T00:00:00"/>
    <d v="2025-01-24T00:00:00"/>
    <x v="2"/>
    <x v="3"/>
    <x v="1"/>
    <x v="0"/>
    <x v="3"/>
    <x v="2"/>
    <x v="3"/>
    <x v="2"/>
  </r>
  <r>
    <s v="TX500478"/>
    <x v="9"/>
    <x v="9"/>
    <n v="73.2"/>
    <n v="366"/>
    <d v="2025-01-21T00:00:00"/>
    <d v="2025-01-22T00:00:00"/>
    <x v="2"/>
    <x v="1"/>
    <x v="4"/>
    <x v="0"/>
    <x v="3"/>
    <x v="3"/>
    <x v="3"/>
    <x v="2"/>
  </r>
  <r>
    <s v="TX500479"/>
    <x v="15"/>
    <x v="1"/>
    <n v="48.6"/>
    <n v="97.2"/>
    <d v="2025-01-21T00:00:00"/>
    <d v="2025-01-25T00:00:00"/>
    <x v="2"/>
    <x v="3"/>
    <x v="0"/>
    <x v="0"/>
    <x v="3"/>
    <x v="5"/>
    <x v="3"/>
    <x v="2"/>
  </r>
  <r>
    <s v="TX500480"/>
    <x v="0"/>
    <x v="13"/>
    <n v="48.7"/>
    <n v="292.20000000000005"/>
    <d v="2025-01-21T00:00:00"/>
    <d v="2025-01-22T00:00:00"/>
    <x v="1"/>
    <x v="0"/>
    <x v="0"/>
    <x v="0"/>
    <x v="3"/>
    <x v="3"/>
    <x v="3"/>
    <x v="1"/>
  </r>
  <r>
    <s v="TX500481"/>
    <x v="4"/>
    <x v="1"/>
    <n v="32.200000000000003"/>
    <n v="64.400000000000006"/>
    <d v="2025-01-21T00:00:00"/>
    <d v="2025-01-24T00:00:00"/>
    <x v="1"/>
    <x v="2"/>
    <x v="2"/>
    <x v="0"/>
    <x v="3"/>
    <x v="2"/>
    <x v="3"/>
    <x v="1"/>
  </r>
  <r>
    <s v="TX500482"/>
    <x v="15"/>
    <x v="8"/>
    <n v="25.8"/>
    <n v="206.4"/>
    <d v="2025-01-21T00:00:00"/>
    <d v="2025-01-22T00:00:00"/>
    <x v="1"/>
    <x v="0"/>
    <x v="0"/>
    <x v="0"/>
    <x v="37"/>
    <x v="3"/>
    <x v="3"/>
    <x v="1"/>
  </r>
  <r>
    <s v="TX500483"/>
    <x v="6"/>
    <x v="1"/>
    <n v="94.8"/>
    <n v="189.6"/>
    <d v="2025-01-22T00:00:00"/>
    <d v="2025-01-25T00:00:00"/>
    <x v="2"/>
    <x v="1"/>
    <x v="1"/>
    <x v="0"/>
    <x v="25"/>
    <x v="2"/>
    <x v="3"/>
    <x v="2"/>
  </r>
  <r>
    <s v="TX500484"/>
    <x v="15"/>
    <x v="30"/>
    <n v="56.8"/>
    <n v="1420"/>
    <d v="2025-01-22T00:00:00"/>
    <d v="2025-01-25T00:00:00"/>
    <x v="1"/>
    <x v="0"/>
    <x v="0"/>
    <x v="0"/>
    <x v="25"/>
    <x v="2"/>
    <x v="3"/>
    <x v="1"/>
  </r>
  <r>
    <s v="TX500485"/>
    <x v="8"/>
    <x v="27"/>
    <n v="18.3"/>
    <n v="292.8"/>
    <d v="2025-01-22T00:00:00"/>
    <d v="2025-01-29T00:00:00"/>
    <x v="2"/>
    <x v="2"/>
    <x v="2"/>
    <x v="0"/>
    <x v="23"/>
    <x v="6"/>
    <x v="3"/>
    <x v="2"/>
  </r>
  <r>
    <s v="TX500486"/>
    <x v="0"/>
    <x v="2"/>
    <n v="16.8"/>
    <n v="50.400000000000006"/>
    <d v="2025-01-22T00:00:00"/>
    <d v="2025-01-27T00:00:00"/>
    <x v="2"/>
    <x v="2"/>
    <x v="2"/>
    <x v="0"/>
    <x v="8"/>
    <x v="0"/>
    <x v="3"/>
    <x v="2"/>
  </r>
  <r>
    <s v="TX500487"/>
    <x v="5"/>
    <x v="5"/>
    <n v="35.799999999999997"/>
    <n v="393.79999999999995"/>
    <d v="2025-01-22T00:00:00"/>
    <d v="2025-01-23T00:00:00"/>
    <x v="1"/>
    <x v="1"/>
    <x v="0"/>
    <x v="0"/>
    <x v="17"/>
    <x v="3"/>
    <x v="3"/>
    <x v="1"/>
  </r>
  <r>
    <s v="TX500488"/>
    <x v="18"/>
    <x v="0"/>
    <n v="64.900000000000006"/>
    <n v="64.900000000000006"/>
    <d v="2025-01-22T00:00:00"/>
    <d v="2025-01-23T00:00:00"/>
    <x v="1"/>
    <x v="0"/>
    <x v="1"/>
    <x v="0"/>
    <x v="17"/>
    <x v="3"/>
    <x v="3"/>
    <x v="1"/>
  </r>
  <r>
    <s v="TX500489"/>
    <x v="18"/>
    <x v="0"/>
    <n v="28.5"/>
    <n v="28.5"/>
    <d v="2025-01-22T00:00:00"/>
    <d v="2025-01-24T00:00:00"/>
    <x v="0"/>
    <x v="1"/>
    <x v="0"/>
    <x v="0"/>
    <x v="9"/>
    <x v="1"/>
    <x v="3"/>
    <x v="0"/>
  </r>
  <r>
    <s v="TX500490"/>
    <x v="18"/>
    <x v="1"/>
    <n v="103.5"/>
    <n v="207"/>
    <d v="2025-01-22T00:00:00"/>
    <d v="2025-01-24T00:00:00"/>
    <x v="2"/>
    <x v="1"/>
    <x v="0"/>
    <x v="0"/>
    <x v="10"/>
    <x v="1"/>
    <x v="3"/>
    <x v="2"/>
  </r>
  <r>
    <s v="TX500491"/>
    <x v="4"/>
    <x v="1"/>
    <n v="41.2"/>
    <n v="82.4"/>
    <d v="2025-01-22T00:00:00"/>
    <d v="2025-01-23T00:00:00"/>
    <x v="2"/>
    <x v="1"/>
    <x v="0"/>
    <x v="0"/>
    <x v="10"/>
    <x v="3"/>
    <x v="3"/>
    <x v="2"/>
  </r>
  <r>
    <s v="TX500492"/>
    <x v="9"/>
    <x v="0"/>
    <n v="37.799999999999997"/>
    <n v="37.799999999999997"/>
    <d v="2025-01-22T00:00:00"/>
    <d v="2025-01-24T00:00:00"/>
    <x v="2"/>
    <x v="3"/>
    <x v="3"/>
    <x v="0"/>
    <x v="11"/>
    <x v="1"/>
    <x v="3"/>
    <x v="2"/>
  </r>
  <r>
    <s v="TX500493"/>
    <x v="8"/>
    <x v="1"/>
    <n v="42.6"/>
    <n v="85.2"/>
    <d v="2025-01-22T00:00:00"/>
    <d v="2025-01-24T00:00:00"/>
    <x v="2"/>
    <x v="4"/>
    <x v="0"/>
    <x v="0"/>
    <x v="11"/>
    <x v="1"/>
    <x v="3"/>
    <x v="2"/>
  </r>
  <r>
    <s v="TX500494"/>
    <x v="8"/>
    <x v="7"/>
    <n v="15.2"/>
    <n v="152"/>
    <d v="2025-01-22T00:00:00"/>
    <d v="2025-01-24T00:00:00"/>
    <x v="2"/>
    <x v="2"/>
    <x v="0"/>
    <x v="0"/>
    <x v="11"/>
    <x v="1"/>
    <x v="3"/>
    <x v="2"/>
  </r>
  <r>
    <s v="TX500495"/>
    <x v="7"/>
    <x v="12"/>
    <n v="83.4"/>
    <n v="333.6"/>
    <d v="2025-01-22T00:00:00"/>
    <d v="2025-01-23T00:00:00"/>
    <x v="2"/>
    <x v="2"/>
    <x v="1"/>
    <x v="0"/>
    <x v="18"/>
    <x v="3"/>
    <x v="3"/>
    <x v="2"/>
  </r>
  <r>
    <s v="TX500496"/>
    <x v="19"/>
    <x v="1"/>
    <n v="27.7"/>
    <n v="55.4"/>
    <d v="2025-01-22T00:00:00"/>
    <d v="2025-01-23T00:00:00"/>
    <x v="2"/>
    <x v="0"/>
    <x v="1"/>
    <x v="0"/>
    <x v="13"/>
    <x v="3"/>
    <x v="3"/>
    <x v="2"/>
  </r>
  <r>
    <s v="TX500497"/>
    <x v="10"/>
    <x v="4"/>
    <n v="20.8"/>
    <n v="249.60000000000002"/>
    <d v="2025-01-22T00:00:00"/>
    <d v="2025-01-23T00:00:00"/>
    <x v="1"/>
    <x v="3"/>
    <x v="0"/>
    <x v="0"/>
    <x v="13"/>
    <x v="3"/>
    <x v="3"/>
    <x v="1"/>
  </r>
  <r>
    <s v="TX500498"/>
    <x v="11"/>
    <x v="1"/>
    <n v="72.7"/>
    <n v="145.4"/>
    <d v="2025-01-22T00:00:00"/>
    <d v="2025-01-26T00:00:00"/>
    <x v="2"/>
    <x v="4"/>
    <x v="2"/>
    <x v="0"/>
    <x v="44"/>
    <x v="5"/>
    <x v="3"/>
    <x v="2"/>
  </r>
  <r>
    <s v="TX500499"/>
    <x v="10"/>
    <x v="12"/>
    <n v="38.6"/>
    <n v="154.4"/>
    <d v="2025-01-22T00:00:00"/>
    <d v="2025-01-23T00:00:00"/>
    <x v="1"/>
    <x v="0"/>
    <x v="2"/>
    <x v="0"/>
    <x v="22"/>
    <x v="3"/>
    <x v="3"/>
    <x v="1"/>
  </r>
  <r>
    <s v="TX500500"/>
    <x v="8"/>
    <x v="3"/>
    <n v="33.1"/>
    <n v="231.70000000000002"/>
    <d v="2025-01-22T00:00:00"/>
    <d v="2025-01-23T00:00:00"/>
    <x v="3"/>
    <x v="4"/>
    <x v="3"/>
    <x v="0"/>
    <x v="3"/>
    <x v="3"/>
    <x v="3"/>
    <x v="3"/>
  </r>
  <r>
    <s v="TX500501"/>
    <x v="10"/>
    <x v="1"/>
    <n v="30.5"/>
    <n v="61"/>
    <d v="2025-01-22T00:00:00"/>
    <d v="2025-01-22T00:00:00"/>
    <x v="0"/>
    <x v="1"/>
    <x v="1"/>
    <x v="0"/>
    <x v="3"/>
    <x v="7"/>
    <x v="3"/>
    <x v="0"/>
  </r>
  <r>
    <s v="TX500502"/>
    <x v="9"/>
    <x v="1"/>
    <n v="69.599999999999994"/>
    <n v="139.19999999999999"/>
    <d v="2025-01-22T00:00:00"/>
    <d v="2025-01-23T00:00:00"/>
    <x v="1"/>
    <x v="0"/>
    <x v="1"/>
    <x v="0"/>
    <x v="3"/>
    <x v="3"/>
    <x v="3"/>
    <x v="1"/>
  </r>
  <r>
    <s v="TX500503"/>
    <x v="11"/>
    <x v="0"/>
    <n v="42.4"/>
    <n v="42.4"/>
    <d v="2025-01-22T00:00:00"/>
    <d v="2025-01-26T00:00:00"/>
    <x v="2"/>
    <x v="1"/>
    <x v="0"/>
    <x v="0"/>
    <x v="3"/>
    <x v="5"/>
    <x v="3"/>
    <x v="2"/>
  </r>
  <r>
    <s v="TX500504"/>
    <x v="17"/>
    <x v="0"/>
    <n v="32.200000000000003"/>
    <n v="32.200000000000003"/>
    <d v="2025-01-22T00:00:00"/>
    <d v="2025-01-25T00:00:00"/>
    <x v="2"/>
    <x v="2"/>
    <x v="1"/>
    <x v="0"/>
    <x v="3"/>
    <x v="2"/>
    <x v="3"/>
    <x v="2"/>
  </r>
  <r>
    <s v="TX500505"/>
    <x v="6"/>
    <x v="1"/>
    <n v="41.5"/>
    <n v="83"/>
    <d v="2025-01-22T00:00:00"/>
    <d v="2025-01-25T00:00:00"/>
    <x v="2"/>
    <x v="0"/>
    <x v="2"/>
    <x v="0"/>
    <x v="3"/>
    <x v="2"/>
    <x v="3"/>
    <x v="2"/>
  </r>
  <r>
    <s v="TX500506"/>
    <x v="16"/>
    <x v="11"/>
    <n v="58.9"/>
    <n v="530.1"/>
    <d v="2025-01-22T00:00:00"/>
    <d v="2025-01-26T00:00:00"/>
    <x v="2"/>
    <x v="3"/>
    <x v="0"/>
    <x v="0"/>
    <x v="3"/>
    <x v="5"/>
    <x v="3"/>
    <x v="2"/>
  </r>
  <r>
    <s v="TX500507"/>
    <x v="2"/>
    <x v="0"/>
    <n v="57.1"/>
    <n v="57.1"/>
    <d v="2025-01-22T00:00:00"/>
    <d v="2025-01-25T00:00:00"/>
    <x v="2"/>
    <x v="1"/>
    <x v="0"/>
    <x v="0"/>
    <x v="3"/>
    <x v="2"/>
    <x v="3"/>
    <x v="2"/>
  </r>
  <r>
    <s v="TX500508"/>
    <x v="6"/>
    <x v="0"/>
    <n v="57.2"/>
    <n v="57.2"/>
    <d v="2025-01-22T00:00:00"/>
    <d v="2025-01-24T00:00:00"/>
    <x v="1"/>
    <x v="1"/>
    <x v="0"/>
    <x v="0"/>
    <x v="3"/>
    <x v="1"/>
    <x v="3"/>
    <x v="1"/>
  </r>
  <r>
    <s v="TX500509"/>
    <x v="8"/>
    <x v="1"/>
    <n v="35.1"/>
    <n v="70.2"/>
    <d v="2025-01-22T00:00:00"/>
    <d v="2025-01-23T00:00:00"/>
    <x v="1"/>
    <x v="1"/>
    <x v="0"/>
    <x v="0"/>
    <x v="6"/>
    <x v="3"/>
    <x v="3"/>
    <x v="1"/>
  </r>
  <r>
    <s v="TX500510"/>
    <x v="1"/>
    <x v="0"/>
    <n v="52.1"/>
    <n v="52.1"/>
    <d v="2025-01-22T00:00:00"/>
    <d v="2025-01-24T00:00:00"/>
    <x v="2"/>
    <x v="4"/>
    <x v="1"/>
    <x v="0"/>
    <x v="8"/>
    <x v="1"/>
    <x v="3"/>
    <x v="2"/>
  </r>
  <r>
    <s v="TX500511"/>
    <x v="13"/>
    <x v="2"/>
    <n v="59.8"/>
    <n v="179.39999999999998"/>
    <d v="2025-01-22T00:00:00"/>
    <d v="2025-01-24T00:00:00"/>
    <x v="2"/>
    <x v="4"/>
    <x v="1"/>
    <x v="0"/>
    <x v="8"/>
    <x v="1"/>
    <x v="3"/>
    <x v="2"/>
  </r>
  <r>
    <s v="TX500512"/>
    <x v="3"/>
    <x v="12"/>
    <n v="83.3"/>
    <n v="333.2"/>
    <d v="2025-01-22T00:00:00"/>
    <d v="2025-01-22T00:00:00"/>
    <x v="0"/>
    <x v="2"/>
    <x v="0"/>
    <x v="0"/>
    <x v="8"/>
    <x v="7"/>
    <x v="3"/>
    <x v="0"/>
  </r>
  <r>
    <s v="TX500513"/>
    <x v="15"/>
    <x v="4"/>
    <n v="41.3"/>
    <n v="495.59999999999997"/>
    <d v="2025-01-22T00:00:00"/>
    <d v="2025-01-23T00:00:00"/>
    <x v="2"/>
    <x v="1"/>
    <x v="0"/>
    <x v="0"/>
    <x v="8"/>
    <x v="3"/>
    <x v="3"/>
    <x v="2"/>
  </r>
  <r>
    <s v="TX500514"/>
    <x v="8"/>
    <x v="9"/>
    <n v="16"/>
    <n v="80"/>
    <d v="2025-01-22T00:00:00"/>
    <d v="2025-01-24T00:00:00"/>
    <x v="1"/>
    <x v="4"/>
    <x v="1"/>
    <x v="0"/>
    <x v="9"/>
    <x v="1"/>
    <x v="3"/>
    <x v="1"/>
  </r>
  <r>
    <s v="TX500515"/>
    <x v="10"/>
    <x v="1"/>
    <n v="20.8"/>
    <n v="41.6"/>
    <d v="2025-01-23T00:00:00"/>
    <d v="2025-01-25T00:00:00"/>
    <x v="1"/>
    <x v="0"/>
    <x v="2"/>
    <x v="0"/>
    <x v="11"/>
    <x v="1"/>
    <x v="3"/>
    <x v="1"/>
  </r>
  <r>
    <s v="TX500516"/>
    <x v="8"/>
    <x v="31"/>
    <n v="27.1"/>
    <n v="758.80000000000007"/>
    <d v="2025-01-23T00:00:00"/>
    <d v="2025-01-24T00:00:00"/>
    <x v="0"/>
    <x v="3"/>
    <x v="2"/>
    <x v="0"/>
    <x v="11"/>
    <x v="3"/>
    <x v="3"/>
    <x v="0"/>
  </r>
  <r>
    <s v="TX500517"/>
    <x v="10"/>
    <x v="1"/>
    <n v="38.9"/>
    <n v="77.8"/>
    <d v="2025-01-23T00:00:00"/>
    <d v="2025-01-25T00:00:00"/>
    <x v="2"/>
    <x v="0"/>
    <x v="0"/>
    <x v="0"/>
    <x v="18"/>
    <x v="1"/>
    <x v="3"/>
    <x v="2"/>
  </r>
  <r>
    <s v="TX500518"/>
    <x v="0"/>
    <x v="1"/>
    <n v="10.8"/>
    <n v="21.6"/>
    <d v="2025-01-23T00:00:00"/>
    <d v="2025-01-26T00:00:00"/>
    <x v="2"/>
    <x v="1"/>
    <x v="2"/>
    <x v="0"/>
    <x v="45"/>
    <x v="2"/>
    <x v="3"/>
    <x v="2"/>
  </r>
  <r>
    <s v="TX500519"/>
    <x v="4"/>
    <x v="15"/>
    <n v="48.4"/>
    <n v="629.19999999999993"/>
    <d v="2025-01-23T00:00:00"/>
    <d v="2025-01-27T00:00:00"/>
    <x v="2"/>
    <x v="0"/>
    <x v="0"/>
    <x v="0"/>
    <x v="21"/>
    <x v="5"/>
    <x v="3"/>
    <x v="2"/>
  </r>
  <r>
    <s v="TX500520"/>
    <x v="4"/>
    <x v="2"/>
    <n v="29.2"/>
    <n v="87.6"/>
    <d v="2025-01-23T00:00:00"/>
    <d v="2025-01-26T00:00:00"/>
    <x v="2"/>
    <x v="1"/>
    <x v="1"/>
    <x v="0"/>
    <x v="2"/>
    <x v="2"/>
    <x v="3"/>
    <x v="2"/>
  </r>
  <r>
    <s v="TX500521"/>
    <x v="4"/>
    <x v="1"/>
    <n v="25.1"/>
    <n v="50.2"/>
    <d v="2025-01-23T00:00:00"/>
    <d v="2025-01-24T00:00:00"/>
    <x v="1"/>
    <x v="0"/>
    <x v="1"/>
    <x v="0"/>
    <x v="2"/>
    <x v="3"/>
    <x v="3"/>
    <x v="1"/>
  </r>
  <r>
    <s v="TX500522"/>
    <x v="7"/>
    <x v="2"/>
    <n v="65.599999999999994"/>
    <n v="196.79999999999998"/>
    <d v="2025-01-23T00:00:00"/>
    <d v="2025-01-23T00:00:00"/>
    <x v="2"/>
    <x v="2"/>
    <x v="1"/>
    <x v="0"/>
    <x v="3"/>
    <x v="7"/>
    <x v="3"/>
    <x v="2"/>
  </r>
  <r>
    <s v="TX500523"/>
    <x v="2"/>
    <x v="1"/>
    <n v="57.3"/>
    <n v="114.6"/>
    <d v="2025-01-23T00:00:00"/>
    <d v="2025-01-23T00:00:00"/>
    <x v="0"/>
    <x v="0"/>
    <x v="0"/>
    <x v="0"/>
    <x v="3"/>
    <x v="7"/>
    <x v="3"/>
    <x v="0"/>
  </r>
  <r>
    <s v="TX500524"/>
    <x v="9"/>
    <x v="12"/>
    <n v="22.4"/>
    <n v="89.6"/>
    <d v="2025-01-23T00:00:00"/>
    <d v="2025-01-24T00:00:00"/>
    <x v="2"/>
    <x v="2"/>
    <x v="2"/>
    <x v="0"/>
    <x v="3"/>
    <x v="3"/>
    <x v="3"/>
    <x v="2"/>
  </r>
  <r>
    <s v="TX500525"/>
    <x v="12"/>
    <x v="11"/>
    <n v="45.7"/>
    <n v="411.3"/>
    <d v="2025-01-23T00:00:00"/>
    <d v="2025-01-24T00:00:00"/>
    <x v="2"/>
    <x v="0"/>
    <x v="0"/>
    <x v="0"/>
    <x v="3"/>
    <x v="3"/>
    <x v="3"/>
    <x v="2"/>
  </r>
  <r>
    <s v="TX500526"/>
    <x v="8"/>
    <x v="1"/>
    <n v="29.3"/>
    <n v="58.6"/>
    <d v="2025-01-23T00:00:00"/>
    <d v="2025-01-24T00:00:00"/>
    <x v="1"/>
    <x v="1"/>
    <x v="0"/>
    <x v="0"/>
    <x v="3"/>
    <x v="3"/>
    <x v="3"/>
    <x v="1"/>
  </r>
  <r>
    <s v="TX500527"/>
    <x v="18"/>
    <x v="32"/>
    <n v="74"/>
    <n v="1628"/>
    <d v="2025-01-23T00:00:00"/>
    <d v="2025-01-24T00:00:00"/>
    <x v="1"/>
    <x v="0"/>
    <x v="2"/>
    <x v="0"/>
    <x v="3"/>
    <x v="3"/>
    <x v="3"/>
    <x v="1"/>
  </r>
  <r>
    <s v="TX500528"/>
    <x v="14"/>
    <x v="1"/>
    <n v="39.200000000000003"/>
    <n v="78.400000000000006"/>
    <d v="2025-01-23T00:00:00"/>
    <d v="2025-01-25T00:00:00"/>
    <x v="2"/>
    <x v="1"/>
    <x v="0"/>
    <x v="0"/>
    <x v="3"/>
    <x v="1"/>
    <x v="3"/>
    <x v="2"/>
  </r>
  <r>
    <s v="TX500529"/>
    <x v="4"/>
    <x v="14"/>
    <n v="62.7"/>
    <n v="1065.9000000000001"/>
    <d v="2025-01-23T00:00:00"/>
    <d v="2025-01-24T00:00:00"/>
    <x v="2"/>
    <x v="2"/>
    <x v="1"/>
    <x v="0"/>
    <x v="3"/>
    <x v="3"/>
    <x v="3"/>
    <x v="2"/>
  </r>
  <r>
    <s v="TX500530"/>
    <x v="10"/>
    <x v="1"/>
    <n v="60.1"/>
    <n v="120.2"/>
    <d v="2025-01-23T00:00:00"/>
    <d v="2025-01-24T00:00:00"/>
    <x v="2"/>
    <x v="3"/>
    <x v="0"/>
    <x v="0"/>
    <x v="3"/>
    <x v="3"/>
    <x v="3"/>
    <x v="2"/>
  </r>
  <r>
    <s v="TX500531"/>
    <x v="0"/>
    <x v="12"/>
    <n v="11.2"/>
    <n v="44.8"/>
    <d v="2025-01-23T00:00:00"/>
    <d v="2025-01-24T00:00:00"/>
    <x v="2"/>
    <x v="3"/>
    <x v="1"/>
    <x v="0"/>
    <x v="3"/>
    <x v="3"/>
    <x v="3"/>
    <x v="2"/>
  </r>
  <r>
    <s v="TX500532"/>
    <x v="8"/>
    <x v="1"/>
    <n v="22.9"/>
    <n v="45.8"/>
    <d v="2025-01-23T00:00:00"/>
    <d v="2025-01-24T00:00:00"/>
    <x v="2"/>
    <x v="0"/>
    <x v="0"/>
    <x v="0"/>
    <x v="6"/>
    <x v="3"/>
    <x v="3"/>
    <x v="2"/>
  </r>
  <r>
    <s v="TX500533"/>
    <x v="1"/>
    <x v="1"/>
    <n v="37.6"/>
    <n v="75.2"/>
    <d v="2025-01-23T00:00:00"/>
    <d v="2025-01-26T00:00:00"/>
    <x v="2"/>
    <x v="0"/>
    <x v="0"/>
    <x v="0"/>
    <x v="6"/>
    <x v="2"/>
    <x v="3"/>
    <x v="2"/>
  </r>
  <r>
    <s v="TX500534"/>
    <x v="6"/>
    <x v="0"/>
    <n v="42.4"/>
    <n v="42.4"/>
    <d v="2025-01-23T00:00:00"/>
    <d v="2025-01-24T00:00:00"/>
    <x v="2"/>
    <x v="3"/>
    <x v="2"/>
    <x v="0"/>
    <x v="6"/>
    <x v="3"/>
    <x v="3"/>
    <x v="2"/>
  </r>
  <r>
    <s v="TX500535"/>
    <x v="8"/>
    <x v="1"/>
    <n v="19.600000000000001"/>
    <n v="39.200000000000003"/>
    <d v="2025-01-23T00:00:00"/>
    <d v="2025-01-27T00:00:00"/>
    <x v="2"/>
    <x v="2"/>
    <x v="0"/>
    <x v="0"/>
    <x v="7"/>
    <x v="5"/>
    <x v="3"/>
    <x v="2"/>
  </r>
  <r>
    <s v="TX500536"/>
    <x v="9"/>
    <x v="0"/>
    <n v="90.5"/>
    <n v="90.5"/>
    <d v="2025-01-23T00:00:00"/>
    <d v="2025-01-26T00:00:00"/>
    <x v="2"/>
    <x v="2"/>
    <x v="0"/>
    <x v="0"/>
    <x v="7"/>
    <x v="2"/>
    <x v="3"/>
    <x v="2"/>
  </r>
  <r>
    <s v="TX500537"/>
    <x v="16"/>
    <x v="5"/>
    <n v="33.9"/>
    <n v="372.9"/>
    <d v="2025-01-23T00:00:00"/>
    <d v="2025-01-24T00:00:00"/>
    <x v="1"/>
    <x v="2"/>
    <x v="1"/>
    <x v="0"/>
    <x v="7"/>
    <x v="3"/>
    <x v="3"/>
    <x v="1"/>
  </r>
  <r>
    <s v="TX500538"/>
    <x v="0"/>
    <x v="1"/>
    <n v="32.799999999999997"/>
    <n v="65.599999999999994"/>
    <d v="2025-01-23T00:00:00"/>
    <d v="2025-01-25T00:00:00"/>
    <x v="2"/>
    <x v="4"/>
    <x v="4"/>
    <x v="0"/>
    <x v="8"/>
    <x v="1"/>
    <x v="3"/>
    <x v="2"/>
  </r>
  <r>
    <s v="TX500539"/>
    <x v="15"/>
    <x v="0"/>
    <n v="49.9"/>
    <n v="49.9"/>
    <d v="2025-01-23T00:00:00"/>
    <d v="2025-01-24T00:00:00"/>
    <x v="1"/>
    <x v="3"/>
    <x v="1"/>
    <x v="0"/>
    <x v="8"/>
    <x v="3"/>
    <x v="3"/>
    <x v="1"/>
  </r>
  <r>
    <s v="TX500540"/>
    <x v="7"/>
    <x v="9"/>
    <n v="79.2"/>
    <n v="396"/>
    <d v="2025-01-23T00:00:00"/>
    <d v="2025-01-24T00:00:00"/>
    <x v="2"/>
    <x v="4"/>
    <x v="0"/>
    <x v="0"/>
    <x v="8"/>
    <x v="3"/>
    <x v="3"/>
    <x v="2"/>
  </r>
  <r>
    <s v="TX500541"/>
    <x v="8"/>
    <x v="27"/>
    <n v="19.5"/>
    <n v="312"/>
    <d v="2025-01-23T00:00:00"/>
    <d v="2025-01-25T00:00:00"/>
    <x v="1"/>
    <x v="3"/>
    <x v="2"/>
    <x v="0"/>
    <x v="8"/>
    <x v="1"/>
    <x v="3"/>
    <x v="1"/>
  </r>
  <r>
    <s v="TX500542"/>
    <x v="8"/>
    <x v="12"/>
    <n v="18"/>
    <n v="72"/>
    <d v="2025-01-23T00:00:00"/>
    <d v="2025-01-24T00:00:00"/>
    <x v="1"/>
    <x v="1"/>
    <x v="0"/>
    <x v="0"/>
    <x v="10"/>
    <x v="3"/>
    <x v="3"/>
    <x v="1"/>
  </r>
  <r>
    <s v="TX500543"/>
    <x v="9"/>
    <x v="2"/>
    <n v="45.9"/>
    <n v="137.69999999999999"/>
    <d v="2025-01-23T00:00:00"/>
    <d v="2025-01-25T00:00:00"/>
    <x v="2"/>
    <x v="1"/>
    <x v="1"/>
    <x v="0"/>
    <x v="10"/>
    <x v="1"/>
    <x v="3"/>
    <x v="2"/>
  </r>
  <r>
    <s v="TX500544"/>
    <x v="11"/>
    <x v="0"/>
    <n v="41.2"/>
    <n v="41.2"/>
    <d v="2025-01-23T00:00:00"/>
    <d v="2025-01-25T00:00:00"/>
    <x v="2"/>
    <x v="1"/>
    <x v="2"/>
    <x v="0"/>
    <x v="11"/>
    <x v="1"/>
    <x v="3"/>
    <x v="2"/>
  </r>
  <r>
    <s v="TX500545"/>
    <x v="2"/>
    <x v="7"/>
    <n v="167.2"/>
    <n v="1672"/>
    <d v="2025-01-23T00:00:00"/>
    <d v="2025-01-25T00:00:00"/>
    <x v="2"/>
    <x v="2"/>
    <x v="2"/>
    <x v="0"/>
    <x v="32"/>
    <x v="1"/>
    <x v="3"/>
    <x v="2"/>
  </r>
  <r>
    <s v="TX500546"/>
    <x v="6"/>
    <x v="17"/>
    <n v="74.5"/>
    <n v="2235"/>
    <d v="2025-01-24T00:00:00"/>
    <d v="2025-01-27T00:00:00"/>
    <x v="2"/>
    <x v="1"/>
    <x v="2"/>
    <x v="0"/>
    <x v="38"/>
    <x v="2"/>
    <x v="3"/>
    <x v="2"/>
  </r>
  <r>
    <s v="TX500547"/>
    <x v="7"/>
    <x v="12"/>
    <n v="39.299999999999997"/>
    <n v="157.19999999999999"/>
    <d v="2025-01-24T00:00:00"/>
    <d v="2025-01-25T00:00:00"/>
    <x v="0"/>
    <x v="2"/>
    <x v="0"/>
    <x v="0"/>
    <x v="19"/>
    <x v="3"/>
    <x v="3"/>
    <x v="0"/>
  </r>
  <r>
    <s v="TX500548"/>
    <x v="9"/>
    <x v="0"/>
    <n v="68.5"/>
    <n v="68.5"/>
    <d v="2025-01-24T00:00:00"/>
    <d v="2025-01-27T00:00:00"/>
    <x v="1"/>
    <x v="1"/>
    <x v="2"/>
    <x v="0"/>
    <x v="12"/>
    <x v="2"/>
    <x v="3"/>
    <x v="1"/>
  </r>
  <r>
    <s v="TX500549"/>
    <x v="0"/>
    <x v="2"/>
    <n v="22.5"/>
    <n v="67.5"/>
    <d v="2025-01-24T00:00:00"/>
    <d v="2025-01-24T00:00:00"/>
    <x v="2"/>
    <x v="4"/>
    <x v="0"/>
    <x v="0"/>
    <x v="13"/>
    <x v="7"/>
    <x v="3"/>
    <x v="2"/>
  </r>
  <r>
    <s v="TX500550"/>
    <x v="1"/>
    <x v="0"/>
    <n v="48"/>
    <n v="48"/>
    <d v="2025-01-24T00:00:00"/>
    <d v="2025-01-25T00:00:00"/>
    <x v="3"/>
    <x v="4"/>
    <x v="1"/>
    <x v="0"/>
    <x v="46"/>
    <x v="3"/>
    <x v="3"/>
    <x v="3"/>
  </r>
  <r>
    <s v="TX500551"/>
    <x v="6"/>
    <x v="0"/>
    <n v="94"/>
    <n v="94"/>
    <d v="2025-01-24T00:00:00"/>
    <d v="2025-01-25T00:00:00"/>
    <x v="1"/>
    <x v="3"/>
    <x v="1"/>
    <x v="0"/>
    <x v="1"/>
    <x v="3"/>
    <x v="3"/>
    <x v="1"/>
  </r>
  <r>
    <s v="TX500552"/>
    <x v="8"/>
    <x v="2"/>
    <n v="21.9"/>
    <n v="65.699999999999989"/>
    <d v="2025-01-24T00:00:00"/>
    <d v="2025-01-25T00:00:00"/>
    <x v="2"/>
    <x v="0"/>
    <x v="0"/>
    <x v="0"/>
    <x v="44"/>
    <x v="3"/>
    <x v="3"/>
    <x v="2"/>
  </r>
  <r>
    <s v="TX500553"/>
    <x v="6"/>
    <x v="3"/>
    <n v="64.900000000000006"/>
    <n v="454.30000000000007"/>
    <d v="2025-01-24T00:00:00"/>
    <d v="2025-01-25T00:00:00"/>
    <x v="2"/>
    <x v="0"/>
    <x v="0"/>
    <x v="0"/>
    <x v="3"/>
    <x v="3"/>
    <x v="3"/>
    <x v="2"/>
  </r>
  <r>
    <s v="TX500554"/>
    <x v="12"/>
    <x v="0"/>
    <n v="52.9"/>
    <n v="52.9"/>
    <d v="2025-01-24T00:00:00"/>
    <d v="2025-01-24T00:00:00"/>
    <x v="2"/>
    <x v="1"/>
    <x v="1"/>
    <x v="0"/>
    <x v="3"/>
    <x v="7"/>
    <x v="3"/>
    <x v="2"/>
  </r>
  <r>
    <s v="TX500555"/>
    <x v="8"/>
    <x v="2"/>
    <n v="25.5"/>
    <n v="76.5"/>
    <d v="2025-01-24T00:00:00"/>
    <d v="2025-01-25T00:00:00"/>
    <x v="2"/>
    <x v="1"/>
    <x v="2"/>
    <x v="0"/>
    <x v="3"/>
    <x v="3"/>
    <x v="3"/>
    <x v="2"/>
  </r>
  <r>
    <s v="TX500556"/>
    <x v="6"/>
    <x v="2"/>
    <n v="51.9"/>
    <n v="155.69999999999999"/>
    <d v="2025-01-24T00:00:00"/>
    <d v="2025-01-25T00:00:00"/>
    <x v="2"/>
    <x v="3"/>
    <x v="0"/>
    <x v="0"/>
    <x v="3"/>
    <x v="3"/>
    <x v="3"/>
    <x v="2"/>
  </r>
  <r>
    <s v="TX500557"/>
    <x v="5"/>
    <x v="0"/>
    <n v="46.3"/>
    <n v="46.3"/>
    <d v="2025-01-24T00:00:00"/>
    <d v="2025-01-27T00:00:00"/>
    <x v="2"/>
    <x v="4"/>
    <x v="0"/>
    <x v="0"/>
    <x v="3"/>
    <x v="2"/>
    <x v="3"/>
    <x v="2"/>
  </r>
  <r>
    <s v="TX500558"/>
    <x v="6"/>
    <x v="1"/>
    <n v="68.2"/>
    <n v="136.4"/>
    <d v="2025-01-24T00:00:00"/>
    <d v="2025-01-26T00:00:00"/>
    <x v="2"/>
    <x v="3"/>
    <x v="0"/>
    <x v="0"/>
    <x v="3"/>
    <x v="1"/>
    <x v="3"/>
    <x v="2"/>
  </r>
  <r>
    <s v="TX500559"/>
    <x v="1"/>
    <x v="0"/>
    <n v="40.299999999999997"/>
    <n v="40.299999999999997"/>
    <d v="2025-01-24T00:00:00"/>
    <d v="2025-01-25T00:00:00"/>
    <x v="1"/>
    <x v="0"/>
    <x v="1"/>
    <x v="0"/>
    <x v="3"/>
    <x v="3"/>
    <x v="3"/>
    <x v="1"/>
  </r>
  <r>
    <s v="TX500560"/>
    <x v="2"/>
    <x v="2"/>
    <n v="91.3"/>
    <n v="273.89999999999998"/>
    <d v="2025-01-24T00:00:00"/>
    <d v="2025-01-29T00:00:00"/>
    <x v="1"/>
    <x v="0"/>
    <x v="2"/>
    <x v="0"/>
    <x v="6"/>
    <x v="0"/>
    <x v="3"/>
    <x v="1"/>
  </r>
  <r>
    <s v="TX500561"/>
    <x v="0"/>
    <x v="2"/>
    <n v="11.9"/>
    <n v="35.700000000000003"/>
    <d v="2025-01-24T00:00:00"/>
    <d v="2025-01-25T00:00:00"/>
    <x v="2"/>
    <x v="0"/>
    <x v="1"/>
    <x v="0"/>
    <x v="6"/>
    <x v="3"/>
    <x v="3"/>
    <x v="2"/>
  </r>
  <r>
    <s v="TX500562"/>
    <x v="2"/>
    <x v="1"/>
    <n v="63.5"/>
    <n v="127"/>
    <d v="2025-01-24T00:00:00"/>
    <d v="2025-01-26T00:00:00"/>
    <x v="1"/>
    <x v="1"/>
    <x v="0"/>
    <x v="0"/>
    <x v="6"/>
    <x v="1"/>
    <x v="3"/>
    <x v="1"/>
  </r>
  <r>
    <s v="TX500563"/>
    <x v="4"/>
    <x v="1"/>
    <n v="27.1"/>
    <n v="54.2"/>
    <d v="2025-01-24T00:00:00"/>
    <d v="2025-01-27T00:00:00"/>
    <x v="1"/>
    <x v="2"/>
    <x v="2"/>
    <x v="0"/>
    <x v="6"/>
    <x v="2"/>
    <x v="3"/>
    <x v="1"/>
  </r>
  <r>
    <s v="TX500564"/>
    <x v="1"/>
    <x v="1"/>
    <n v="82.1"/>
    <n v="164.2"/>
    <d v="2025-01-25T00:00:00"/>
    <d v="2025-01-28T00:00:00"/>
    <x v="1"/>
    <x v="1"/>
    <x v="1"/>
    <x v="0"/>
    <x v="7"/>
    <x v="2"/>
    <x v="3"/>
    <x v="1"/>
  </r>
  <r>
    <s v="TX500565"/>
    <x v="3"/>
    <x v="9"/>
    <n v="42.9"/>
    <n v="214.5"/>
    <d v="2025-01-25T00:00:00"/>
    <d v="2025-01-27T00:00:00"/>
    <x v="2"/>
    <x v="1"/>
    <x v="0"/>
    <x v="0"/>
    <x v="8"/>
    <x v="1"/>
    <x v="3"/>
    <x v="2"/>
  </r>
  <r>
    <s v="TX500566"/>
    <x v="8"/>
    <x v="5"/>
    <n v="37.9"/>
    <n v="416.9"/>
    <d v="2025-01-25T00:00:00"/>
    <d v="2025-02-01T00:00:00"/>
    <x v="1"/>
    <x v="0"/>
    <x v="0"/>
    <x v="0"/>
    <x v="8"/>
    <x v="6"/>
    <x v="3"/>
    <x v="1"/>
  </r>
  <r>
    <s v="TX500567"/>
    <x v="0"/>
    <x v="0"/>
    <n v="22.4"/>
    <n v="22.4"/>
    <d v="2025-01-25T00:00:00"/>
    <d v="2025-01-26T00:00:00"/>
    <x v="2"/>
    <x v="0"/>
    <x v="1"/>
    <x v="0"/>
    <x v="17"/>
    <x v="3"/>
    <x v="3"/>
    <x v="2"/>
  </r>
  <r>
    <s v="TX500568"/>
    <x v="2"/>
    <x v="15"/>
    <n v="79.900000000000006"/>
    <n v="1038.7"/>
    <d v="2025-01-25T00:00:00"/>
    <d v="2025-02-07T00:00:00"/>
    <x v="2"/>
    <x v="3"/>
    <x v="1"/>
    <x v="0"/>
    <x v="11"/>
    <x v="10"/>
    <x v="3"/>
    <x v="2"/>
  </r>
  <r>
    <s v="TX500569"/>
    <x v="1"/>
    <x v="0"/>
    <n v="70.599999999999994"/>
    <n v="70.599999999999994"/>
    <d v="2025-01-25T00:00:00"/>
    <d v="2025-01-28T00:00:00"/>
    <x v="2"/>
    <x v="0"/>
    <x v="1"/>
    <x v="0"/>
    <x v="11"/>
    <x v="2"/>
    <x v="3"/>
    <x v="2"/>
  </r>
  <r>
    <s v="TX500570"/>
    <x v="6"/>
    <x v="0"/>
    <n v="49.5"/>
    <n v="49.5"/>
    <d v="2025-01-25T00:00:00"/>
    <d v="2025-01-27T00:00:00"/>
    <x v="1"/>
    <x v="0"/>
    <x v="0"/>
    <x v="0"/>
    <x v="13"/>
    <x v="1"/>
    <x v="3"/>
    <x v="1"/>
  </r>
  <r>
    <s v="TX500571"/>
    <x v="2"/>
    <x v="1"/>
    <n v="96.6"/>
    <n v="193.2"/>
    <d v="2025-01-25T00:00:00"/>
    <d v="2025-01-27T00:00:00"/>
    <x v="1"/>
    <x v="0"/>
    <x v="0"/>
    <x v="0"/>
    <x v="21"/>
    <x v="1"/>
    <x v="3"/>
    <x v="1"/>
  </r>
  <r>
    <s v="TX500572"/>
    <x v="6"/>
    <x v="1"/>
    <n v="52.8"/>
    <n v="105.6"/>
    <d v="2025-01-25T00:00:00"/>
    <d v="2025-01-26T00:00:00"/>
    <x v="2"/>
    <x v="1"/>
    <x v="1"/>
    <x v="0"/>
    <x v="21"/>
    <x v="3"/>
    <x v="3"/>
    <x v="2"/>
  </r>
  <r>
    <s v="TX500573"/>
    <x v="2"/>
    <x v="0"/>
    <n v="101.7"/>
    <n v="101.7"/>
    <d v="2025-01-25T00:00:00"/>
    <d v="2025-01-26T00:00:00"/>
    <x v="1"/>
    <x v="0"/>
    <x v="0"/>
    <x v="0"/>
    <x v="1"/>
    <x v="3"/>
    <x v="3"/>
    <x v="1"/>
  </r>
  <r>
    <s v="TX500574"/>
    <x v="4"/>
    <x v="9"/>
    <n v="26.9"/>
    <n v="134.5"/>
    <d v="2025-01-25T00:00:00"/>
    <d v="2025-01-30T00:00:00"/>
    <x v="2"/>
    <x v="1"/>
    <x v="1"/>
    <x v="0"/>
    <x v="22"/>
    <x v="0"/>
    <x v="3"/>
    <x v="2"/>
  </r>
  <r>
    <s v="TX500575"/>
    <x v="2"/>
    <x v="12"/>
    <n v="211"/>
    <n v="844"/>
    <d v="2025-01-25T00:00:00"/>
    <d v="2025-01-25T00:00:00"/>
    <x v="2"/>
    <x v="1"/>
    <x v="1"/>
    <x v="0"/>
    <x v="3"/>
    <x v="7"/>
    <x v="3"/>
    <x v="2"/>
  </r>
  <r>
    <s v="TX500576"/>
    <x v="0"/>
    <x v="12"/>
    <n v="21.1"/>
    <n v="84.4"/>
    <d v="2025-01-25T00:00:00"/>
    <d v="2025-01-28T00:00:00"/>
    <x v="1"/>
    <x v="4"/>
    <x v="0"/>
    <x v="0"/>
    <x v="3"/>
    <x v="2"/>
    <x v="3"/>
    <x v="1"/>
  </r>
  <r>
    <s v="TX500577"/>
    <x v="10"/>
    <x v="0"/>
    <n v="26.6"/>
    <n v="26.6"/>
    <d v="2025-01-25T00:00:00"/>
    <d v="2025-01-27T00:00:00"/>
    <x v="1"/>
    <x v="0"/>
    <x v="4"/>
    <x v="0"/>
    <x v="3"/>
    <x v="1"/>
    <x v="3"/>
    <x v="1"/>
  </r>
  <r>
    <s v="TX500578"/>
    <x v="12"/>
    <x v="12"/>
    <n v="51.2"/>
    <n v="204.8"/>
    <d v="2025-01-25T00:00:00"/>
    <d v="2025-01-26T00:00:00"/>
    <x v="2"/>
    <x v="3"/>
    <x v="0"/>
    <x v="0"/>
    <x v="47"/>
    <x v="3"/>
    <x v="3"/>
    <x v="2"/>
  </r>
  <r>
    <s v="TX500579"/>
    <x v="0"/>
    <x v="9"/>
    <n v="10.6"/>
    <n v="53"/>
    <d v="2025-01-25T00:00:00"/>
    <d v="2025-01-29T00:00:00"/>
    <x v="2"/>
    <x v="0"/>
    <x v="0"/>
    <x v="0"/>
    <x v="8"/>
    <x v="5"/>
    <x v="3"/>
    <x v="2"/>
  </r>
  <r>
    <s v="TX500580"/>
    <x v="6"/>
    <x v="2"/>
    <n v="43.4"/>
    <n v="130.19999999999999"/>
    <d v="2025-01-25T00:00:00"/>
    <d v="2025-01-28T00:00:00"/>
    <x v="2"/>
    <x v="4"/>
    <x v="0"/>
    <x v="0"/>
    <x v="8"/>
    <x v="2"/>
    <x v="3"/>
    <x v="2"/>
  </r>
  <r>
    <s v="TX500581"/>
    <x v="12"/>
    <x v="0"/>
    <n v="80"/>
    <n v="80"/>
    <d v="2025-01-25T00:00:00"/>
    <d v="2025-01-25T00:00:00"/>
    <x v="2"/>
    <x v="0"/>
    <x v="2"/>
    <x v="0"/>
    <x v="8"/>
    <x v="7"/>
    <x v="3"/>
    <x v="2"/>
  </r>
  <r>
    <s v="TX500582"/>
    <x v="10"/>
    <x v="12"/>
    <n v="64.7"/>
    <n v="258.8"/>
    <d v="2025-01-25T00:00:00"/>
    <d v="2025-01-27T00:00:00"/>
    <x v="2"/>
    <x v="1"/>
    <x v="4"/>
    <x v="0"/>
    <x v="8"/>
    <x v="1"/>
    <x v="3"/>
    <x v="2"/>
  </r>
  <r>
    <s v="TX500583"/>
    <x v="8"/>
    <x v="5"/>
    <n v="26.3"/>
    <n v="289.3"/>
    <d v="2025-01-26T00:00:00"/>
    <d v="2025-01-26T00:00:00"/>
    <x v="2"/>
    <x v="4"/>
    <x v="1"/>
    <x v="0"/>
    <x v="26"/>
    <x v="7"/>
    <x v="4"/>
    <x v="2"/>
  </r>
  <r>
    <s v="TX500584"/>
    <x v="10"/>
    <x v="0"/>
    <n v="28.5"/>
    <n v="28.5"/>
    <d v="2025-01-26T00:00:00"/>
    <d v="2025-01-26T00:00:00"/>
    <x v="1"/>
    <x v="0"/>
    <x v="1"/>
    <x v="0"/>
    <x v="9"/>
    <x v="7"/>
    <x v="4"/>
    <x v="1"/>
  </r>
  <r>
    <s v="TX500585"/>
    <x v="17"/>
    <x v="0"/>
    <n v="47.8"/>
    <n v="47.8"/>
    <d v="2025-01-26T00:00:00"/>
    <d v="2025-01-28T00:00:00"/>
    <x v="2"/>
    <x v="0"/>
    <x v="1"/>
    <x v="0"/>
    <x v="9"/>
    <x v="1"/>
    <x v="4"/>
    <x v="2"/>
  </r>
  <r>
    <s v="TX500586"/>
    <x v="10"/>
    <x v="2"/>
    <n v="42.8"/>
    <n v="128.39999999999998"/>
    <d v="2025-01-26T00:00:00"/>
    <d v="2025-01-29T00:00:00"/>
    <x v="2"/>
    <x v="4"/>
    <x v="1"/>
    <x v="0"/>
    <x v="11"/>
    <x v="2"/>
    <x v="4"/>
    <x v="2"/>
  </r>
  <r>
    <s v="TX500587"/>
    <x v="6"/>
    <x v="9"/>
    <n v="46.8"/>
    <n v="234"/>
    <d v="2025-01-26T00:00:00"/>
    <d v="2025-01-31T00:00:00"/>
    <x v="2"/>
    <x v="1"/>
    <x v="2"/>
    <x v="0"/>
    <x v="11"/>
    <x v="0"/>
    <x v="4"/>
    <x v="2"/>
  </r>
  <r>
    <s v="TX500588"/>
    <x v="1"/>
    <x v="7"/>
    <n v="64.099999999999994"/>
    <n v="641"/>
    <d v="2025-01-26T00:00:00"/>
    <d v="2025-01-27T00:00:00"/>
    <x v="1"/>
    <x v="1"/>
    <x v="0"/>
    <x v="0"/>
    <x v="11"/>
    <x v="3"/>
    <x v="4"/>
    <x v="1"/>
  </r>
  <r>
    <s v="TX500589"/>
    <x v="2"/>
    <x v="0"/>
    <n v="89.1"/>
    <n v="89.1"/>
    <d v="2025-01-26T00:00:00"/>
    <d v="2025-01-27T00:00:00"/>
    <x v="2"/>
    <x v="0"/>
    <x v="1"/>
    <x v="0"/>
    <x v="20"/>
    <x v="3"/>
    <x v="4"/>
    <x v="2"/>
  </r>
  <r>
    <s v="TX500590"/>
    <x v="2"/>
    <x v="2"/>
    <n v="83.1"/>
    <n v="249.29999999999998"/>
    <d v="2025-01-26T00:00:00"/>
    <d v="2025-01-27T00:00:00"/>
    <x v="2"/>
    <x v="2"/>
    <x v="1"/>
    <x v="0"/>
    <x v="13"/>
    <x v="3"/>
    <x v="4"/>
    <x v="2"/>
  </r>
  <r>
    <s v="TX500591"/>
    <x v="8"/>
    <x v="2"/>
    <n v="40.9"/>
    <n v="122.69999999999999"/>
    <d v="2025-01-26T00:00:00"/>
    <d v="2025-01-27T00:00:00"/>
    <x v="1"/>
    <x v="0"/>
    <x v="0"/>
    <x v="0"/>
    <x v="1"/>
    <x v="3"/>
    <x v="4"/>
    <x v="1"/>
  </r>
  <r>
    <s v="TX500592"/>
    <x v="2"/>
    <x v="1"/>
    <n v="125.7"/>
    <n v="251.4"/>
    <d v="2025-01-26T00:00:00"/>
    <d v="2025-01-27T00:00:00"/>
    <x v="2"/>
    <x v="3"/>
    <x v="0"/>
    <x v="0"/>
    <x v="2"/>
    <x v="3"/>
    <x v="4"/>
    <x v="2"/>
  </r>
  <r>
    <s v="TX500593"/>
    <x v="3"/>
    <x v="1"/>
    <n v="30.9"/>
    <n v="61.8"/>
    <d v="2025-01-26T00:00:00"/>
    <d v="2025-01-26T00:00:00"/>
    <x v="2"/>
    <x v="2"/>
    <x v="2"/>
    <x v="0"/>
    <x v="22"/>
    <x v="7"/>
    <x v="4"/>
    <x v="2"/>
  </r>
  <r>
    <s v="TX500594"/>
    <x v="8"/>
    <x v="1"/>
    <n v="18.3"/>
    <n v="36.6"/>
    <d v="2025-01-26T00:00:00"/>
    <d v="2025-01-27T00:00:00"/>
    <x v="2"/>
    <x v="1"/>
    <x v="0"/>
    <x v="0"/>
    <x v="3"/>
    <x v="3"/>
    <x v="4"/>
    <x v="2"/>
  </r>
  <r>
    <s v="TX500595"/>
    <x v="4"/>
    <x v="1"/>
    <n v="56.5"/>
    <n v="113"/>
    <d v="2025-01-26T00:00:00"/>
    <d v="2025-01-30T00:00:00"/>
    <x v="1"/>
    <x v="2"/>
    <x v="2"/>
    <x v="0"/>
    <x v="3"/>
    <x v="5"/>
    <x v="4"/>
    <x v="1"/>
  </r>
  <r>
    <s v="TX500596"/>
    <x v="10"/>
    <x v="3"/>
    <n v="29.9"/>
    <n v="209.29999999999998"/>
    <d v="2025-01-26T00:00:00"/>
    <d v="2025-01-28T00:00:00"/>
    <x v="1"/>
    <x v="4"/>
    <x v="2"/>
    <x v="0"/>
    <x v="3"/>
    <x v="1"/>
    <x v="4"/>
    <x v="1"/>
  </r>
  <r>
    <s v="TX500597"/>
    <x v="5"/>
    <x v="1"/>
    <n v="50.4"/>
    <n v="100.8"/>
    <d v="2025-01-26T00:00:00"/>
    <d v="2025-01-27T00:00:00"/>
    <x v="2"/>
    <x v="2"/>
    <x v="0"/>
    <x v="0"/>
    <x v="3"/>
    <x v="3"/>
    <x v="4"/>
    <x v="2"/>
  </r>
  <r>
    <s v="TX500598"/>
    <x v="2"/>
    <x v="0"/>
    <n v="85.8"/>
    <n v="85.8"/>
    <d v="2025-01-26T00:00:00"/>
    <d v="2025-01-26T00:00:00"/>
    <x v="2"/>
    <x v="2"/>
    <x v="2"/>
    <x v="0"/>
    <x v="3"/>
    <x v="7"/>
    <x v="4"/>
    <x v="2"/>
  </r>
  <r>
    <s v="TX500599"/>
    <x v="4"/>
    <x v="27"/>
    <n v="66.599999999999994"/>
    <n v="1065.5999999999999"/>
    <d v="2025-01-26T00:00:00"/>
    <d v="2025-01-28T00:00:00"/>
    <x v="1"/>
    <x v="1"/>
    <x v="0"/>
    <x v="0"/>
    <x v="3"/>
    <x v="1"/>
    <x v="4"/>
    <x v="1"/>
  </r>
  <r>
    <s v="TX500600"/>
    <x v="6"/>
    <x v="12"/>
    <n v="70.3"/>
    <n v="281.2"/>
    <d v="2025-01-26T00:00:00"/>
    <d v="2025-01-27T00:00:00"/>
    <x v="2"/>
    <x v="0"/>
    <x v="1"/>
    <x v="0"/>
    <x v="3"/>
    <x v="3"/>
    <x v="4"/>
    <x v="2"/>
  </r>
  <r>
    <s v="TX500601"/>
    <x v="8"/>
    <x v="12"/>
    <n v="31"/>
    <n v="124"/>
    <d v="2025-01-26T00:00:00"/>
    <d v="2025-01-29T00:00:00"/>
    <x v="1"/>
    <x v="0"/>
    <x v="2"/>
    <x v="0"/>
    <x v="3"/>
    <x v="2"/>
    <x v="4"/>
    <x v="1"/>
  </r>
  <r>
    <s v="TX500602"/>
    <x v="7"/>
    <x v="13"/>
    <n v="81.599999999999994"/>
    <n v="489.59999999999997"/>
    <d v="2025-01-26T00:00:00"/>
    <d v="2025-01-27T00:00:00"/>
    <x v="2"/>
    <x v="1"/>
    <x v="1"/>
    <x v="0"/>
    <x v="37"/>
    <x v="3"/>
    <x v="4"/>
    <x v="2"/>
  </r>
  <r>
    <s v="TX500603"/>
    <x v="1"/>
    <x v="30"/>
    <n v="58.3"/>
    <n v="1457.5"/>
    <d v="2025-01-26T00:00:00"/>
    <d v="2025-01-27T00:00:00"/>
    <x v="2"/>
    <x v="0"/>
    <x v="0"/>
    <x v="0"/>
    <x v="16"/>
    <x v="3"/>
    <x v="4"/>
    <x v="2"/>
  </r>
  <r>
    <s v="TX500604"/>
    <x v="1"/>
    <x v="12"/>
    <n v="35.1"/>
    <n v="140.4"/>
    <d v="2025-01-26T00:00:00"/>
    <d v="2025-01-28T00:00:00"/>
    <x v="1"/>
    <x v="0"/>
    <x v="2"/>
    <x v="0"/>
    <x v="8"/>
    <x v="1"/>
    <x v="4"/>
    <x v="1"/>
  </r>
  <r>
    <s v="TX500605"/>
    <x v="2"/>
    <x v="0"/>
    <n v="80.2"/>
    <n v="80.2"/>
    <d v="2025-01-26T00:00:00"/>
    <d v="2025-01-27T00:00:00"/>
    <x v="1"/>
    <x v="3"/>
    <x v="2"/>
    <x v="0"/>
    <x v="8"/>
    <x v="3"/>
    <x v="4"/>
    <x v="1"/>
  </r>
  <r>
    <s v="TX500606"/>
    <x v="14"/>
    <x v="2"/>
    <n v="39.200000000000003"/>
    <n v="117.60000000000001"/>
    <d v="2025-01-26T00:00:00"/>
    <d v="2025-01-28T00:00:00"/>
    <x v="2"/>
    <x v="1"/>
    <x v="0"/>
    <x v="0"/>
    <x v="9"/>
    <x v="1"/>
    <x v="4"/>
    <x v="2"/>
  </r>
  <r>
    <s v="TX500607"/>
    <x v="0"/>
    <x v="1"/>
    <n v="15.4"/>
    <n v="30.8"/>
    <d v="2025-01-26T00:00:00"/>
    <d v="2025-01-26T00:00:00"/>
    <x v="2"/>
    <x v="3"/>
    <x v="0"/>
    <x v="0"/>
    <x v="48"/>
    <x v="7"/>
    <x v="4"/>
    <x v="2"/>
  </r>
  <r>
    <s v="TX500608"/>
    <x v="3"/>
    <x v="2"/>
    <n v="65.400000000000006"/>
    <n v="196.20000000000002"/>
    <d v="2025-01-26T00:00:00"/>
    <d v="2025-01-29T00:00:00"/>
    <x v="1"/>
    <x v="3"/>
    <x v="0"/>
    <x v="0"/>
    <x v="18"/>
    <x v="2"/>
    <x v="4"/>
    <x v="1"/>
  </r>
  <r>
    <s v="TX500609"/>
    <x v="1"/>
    <x v="8"/>
    <n v="63.2"/>
    <n v="505.6"/>
    <d v="2025-01-26T00:00:00"/>
    <d v="2025-01-28T00:00:00"/>
    <x v="2"/>
    <x v="1"/>
    <x v="0"/>
    <x v="0"/>
    <x v="19"/>
    <x v="1"/>
    <x v="4"/>
    <x v="2"/>
  </r>
  <r>
    <s v="TX500610"/>
    <x v="1"/>
    <x v="13"/>
    <n v="35.700000000000003"/>
    <n v="214.20000000000002"/>
    <d v="2025-01-26T00:00:00"/>
    <d v="2025-01-30T00:00:00"/>
    <x v="2"/>
    <x v="4"/>
    <x v="1"/>
    <x v="0"/>
    <x v="19"/>
    <x v="5"/>
    <x v="4"/>
    <x v="2"/>
  </r>
  <r>
    <s v="TX500611"/>
    <x v="0"/>
    <x v="28"/>
    <n v="26.2"/>
    <n v="524"/>
    <d v="2025-01-26T00:00:00"/>
    <d v="2025-01-27T00:00:00"/>
    <x v="2"/>
    <x v="3"/>
    <x v="0"/>
    <x v="0"/>
    <x v="21"/>
    <x v="3"/>
    <x v="4"/>
    <x v="2"/>
  </r>
  <r>
    <s v="TX500612"/>
    <x v="7"/>
    <x v="1"/>
    <n v="31"/>
    <n v="62"/>
    <d v="2025-01-26T00:00:00"/>
    <d v="2025-01-27T00:00:00"/>
    <x v="2"/>
    <x v="0"/>
    <x v="2"/>
    <x v="0"/>
    <x v="1"/>
    <x v="3"/>
    <x v="4"/>
    <x v="2"/>
  </r>
  <r>
    <s v="TX500613"/>
    <x v="8"/>
    <x v="12"/>
    <n v="37.700000000000003"/>
    <n v="150.80000000000001"/>
    <d v="2025-01-26T00:00:00"/>
    <d v="2025-01-27T00:00:00"/>
    <x v="2"/>
    <x v="1"/>
    <x v="0"/>
    <x v="0"/>
    <x v="22"/>
    <x v="3"/>
    <x v="4"/>
    <x v="2"/>
  </r>
  <r>
    <s v="TX500614"/>
    <x v="10"/>
    <x v="33"/>
    <n v="43.6"/>
    <n v="1482.4"/>
    <d v="2025-01-26T00:00:00"/>
    <d v="2025-01-28T00:00:00"/>
    <x v="2"/>
    <x v="4"/>
    <x v="1"/>
    <x v="0"/>
    <x v="3"/>
    <x v="1"/>
    <x v="4"/>
    <x v="2"/>
  </r>
  <r>
    <s v="TX500615"/>
    <x v="9"/>
    <x v="12"/>
    <n v="26.5"/>
    <n v="106"/>
    <d v="2025-01-26T00:00:00"/>
    <d v="2025-01-28T00:00:00"/>
    <x v="1"/>
    <x v="0"/>
    <x v="4"/>
    <x v="0"/>
    <x v="3"/>
    <x v="1"/>
    <x v="4"/>
    <x v="1"/>
  </r>
  <r>
    <s v="TX500616"/>
    <x v="0"/>
    <x v="1"/>
    <n v="34.6"/>
    <n v="69.2"/>
    <d v="2025-01-26T00:00:00"/>
    <d v="2025-01-27T00:00:00"/>
    <x v="1"/>
    <x v="4"/>
    <x v="1"/>
    <x v="0"/>
    <x v="3"/>
    <x v="3"/>
    <x v="4"/>
    <x v="1"/>
  </r>
  <r>
    <s v="TX500617"/>
    <x v="8"/>
    <x v="1"/>
    <n v="58.2"/>
    <n v="116.4"/>
    <d v="2025-01-26T00:00:00"/>
    <d v="2025-01-27T00:00:00"/>
    <x v="1"/>
    <x v="2"/>
    <x v="2"/>
    <x v="0"/>
    <x v="3"/>
    <x v="3"/>
    <x v="4"/>
    <x v="1"/>
  </r>
  <r>
    <s v="TX500618"/>
    <x v="7"/>
    <x v="0"/>
    <n v="30.2"/>
    <n v="30.2"/>
    <d v="2025-01-27T00:00:00"/>
    <d v="2025-01-28T00:00:00"/>
    <x v="2"/>
    <x v="2"/>
    <x v="1"/>
    <x v="0"/>
    <x v="3"/>
    <x v="3"/>
    <x v="4"/>
    <x v="2"/>
  </r>
  <r>
    <s v="TX500619"/>
    <x v="1"/>
    <x v="7"/>
    <n v="53.2"/>
    <n v="532"/>
    <d v="2025-01-27T00:00:00"/>
    <d v="2025-01-28T00:00:00"/>
    <x v="1"/>
    <x v="0"/>
    <x v="2"/>
    <x v="0"/>
    <x v="5"/>
    <x v="3"/>
    <x v="4"/>
    <x v="1"/>
  </r>
  <r>
    <s v="TX500620"/>
    <x v="12"/>
    <x v="13"/>
    <n v="51.1"/>
    <n v="306.60000000000002"/>
    <d v="2025-01-27T00:00:00"/>
    <d v="2025-01-27T00:00:00"/>
    <x v="1"/>
    <x v="1"/>
    <x v="2"/>
    <x v="0"/>
    <x v="5"/>
    <x v="7"/>
    <x v="4"/>
    <x v="1"/>
  </r>
  <r>
    <s v="TX500621"/>
    <x v="1"/>
    <x v="0"/>
    <n v="105.4"/>
    <n v="105.4"/>
    <d v="2025-01-27T00:00:00"/>
    <d v="2025-01-31T00:00:00"/>
    <x v="2"/>
    <x v="1"/>
    <x v="2"/>
    <x v="0"/>
    <x v="23"/>
    <x v="5"/>
    <x v="4"/>
    <x v="2"/>
  </r>
  <r>
    <s v="TX500622"/>
    <x v="7"/>
    <x v="0"/>
    <n v="57.7"/>
    <n v="57.7"/>
    <d v="2025-01-27T00:00:00"/>
    <d v="2025-01-27T00:00:00"/>
    <x v="1"/>
    <x v="0"/>
    <x v="4"/>
    <x v="0"/>
    <x v="8"/>
    <x v="7"/>
    <x v="4"/>
    <x v="1"/>
  </r>
  <r>
    <s v="TX500623"/>
    <x v="15"/>
    <x v="1"/>
    <n v="72.400000000000006"/>
    <n v="144.80000000000001"/>
    <d v="2025-01-27T00:00:00"/>
    <d v="2025-02-01T00:00:00"/>
    <x v="2"/>
    <x v="0"/>
    <x v="0"/>
    <x v="0"/>
    <x v="17"/>
    <x v="0"/>
    <x v="4"/>
    <x v="2"/>
  </r>
  <r>
    <s v="TX500624"/>
    <x v="6"/>
    <x v="1"/>
    <n v="62.5"/>
    <n v="125"/>
    <d v="2025-01-27T00:00:00"/>
    <d v="2025-01-28T00:00:00"/>
    <x v="0"/>
    <x v="0"/>
    <x v="2"/>
    <x v="0"/>
    <x v="11"/>
    <x v="3"/>
    <x v="4"/>
    <x v="0"/>
  </r>
  <r>
    <s v="TX500625"/>
    <x v="0"/>
    <x v="32"/>
    <n v="11.6"/>
    <n v="255.2"/>
    <d v="2025-01-27T00:00:00"/>
    <d v="2025-01-29T00:00:00"/>
    <x v="2"/>
    <x v="3"/>
    <x v="2"/>
    <x v="0"/>
    <x v="18"/>
    <x v="1"/>
    <x v="4"/>
    <x v="2"/>
  </r>
  <r>
    <s v="TX500626"/>
    <x v="10"/>
    <x v="7"/>
    <n v="39.6"/>
    <n v="396"/>
    <d v="2025-01-27T00:00:00"/>
    <d v="2025-01-29T00:00:00"/>
    <x v="2"/>
    <x v="2"/>
    <x v="2"/>
    <x v="0"/>
    <x v="18"/>
    <x v="1"/>
    <x v="4"/>
    <x v="2"/>
  </r>
  <r>
    <s v="TX500627"/>
    <x v="8"/>
    <x v="1"/>
    <n v="40.1"/>
    <n v="80.2"/>
    <d v="2025-01-27T00:00:00"/>
    <d v="2025-01-28T00:00:00"/>
    <x v="2"/>
    <x v="2"/>
    <x v="0"/>
    <x v="0"/>
    <x v="18"/>
    <x v="3"/>
    <x v="4"/>
    <x v="2"/>
  </r>
  <r>
    <s v="TX500628"/>
    <x v="8"/>
    <x v="2"/>
    <n v="18.600000000000001"/>
    <n v="55.800000000000004"/>
    <d v="2025-01-27T00:00:00"/>
    <d v="2025-01-28T00:00:00"/>
    <x v="2"/>
    <x v="2"/>
    <x v="0"/>
    <x v="0"/>
    <x v="21"/>
    <x v="3"/>
    <x v="4"/>
    <x v="2"/>
  </r>
  <r>
    <s v="TX500629"/>
    <x v="4"/>
    <x v="0"/>
    <n v="58.8"/>
    <n v="58.8"/>
    <d v="2025-01-27T00:00:00"/>
    <d v="2025-01-29T00:00:00"/>
    <x v="2"/>
    <x v="0"/>
    <x v="1"/>
    <x v="0"/>
    <x v="21"/>
    <x v="1"/>
    <x v="4"/>
    <x v="2"/>
  </r>
  <r>
    <s v="TX500630"/>
    <x v="8"/>
    <x v="1"/>
    <n v="22.1"/>
    <n v="44.2"/>
    <d v="2025-01-27T00:00:00"/>
    <d v="2025-01-30T00:00:00"/>
    <x v="1"/>
    <x v="1"/>
    <x v="2"/>
    <x v="0"/>
    <x v="21"/>
    <x v="2"/>
    <x v="4"/>
    <x v="1"/>
  </r>
  <r>
    <s v="TX500631"/>
    <x v="2"/>
    <x v="0"/>
    <n v="114.9"/>
    <n v="114.9"/>
    <d v="2025-01-28T00:00:00"/>
    <d v="2025-01-29T00:00:00"/>
    <x v="2"/>
    <x v="1"/>
    <x v="1"/>
    <x v="0"/>
    <x v="22"/>
    <x v="3"/>
    <x v="4"/>
    <x v="2"/>
  </r>
  <r>
    <s v="TX500632"/>
    <x v="9"/>
    <x v="9"/>
    <n v="75.8"/>
    <n v="379"/>
    <d v="2025-01-28T00:00:00"/>
    <d v="2025-01-29T00:00:00"/>
    <x v="1"/>
    <x v="0"/>
    <x v="2"/>
    <x v="0"/>
    <x v="3"/>
    <x v="3"/>
    <x v="4"/>
    <x v="1"/>
  </r>
  <r>
    <s v="TX500633"/>
    <x v="14"/>
    <x v="9"/>
    <n v="20.6"/>
    <n v="103"/>
    <d v="2025-01-28T00:00:00"/>
    <d v="2025-01-29T00:00:00"/>
    <x v="1"/>
    <x v="2"/>
    <x v="2"/>
    <x v="0"/>
    <x v="3"/>
    <x v="3"/>
    <x v="4"/>
    <x v="1"/>
  </r>
  <r>
    <s v="TX500634"/>
    <x v="17"/>
    <x v="2"/>
    <n v="67.900000000000006"/>
    <n v="203.70000000000002"/>
    <d v="2025-01-28T00:00:00"/>
    <d v="2025-01-29T00:00:00"/>
    <x v="2"/>
    <x v="1"/>
    <x v="1"/>
    <x v="0"/>
    <x v="3"/>
    <x v="3"/>
    <x v="4"/>
    <x v="2"/>
  </r>
  <r>
    <s v="TX500635"/>
    <x v="0"/>
    <x v="9"/>
    <n v="27"/>
    <n v="135"/>
    <d v="2025-01-28T00:00:00"/>
    <d v="2025-02-04T00:00:00"/>
    <x v="2"/>
    <x v="0"/>
    <x v="2"/>
    <x v="0"/>
    <x v="3"/>
    <x v="6"/>
    <x v="4"/>
    <x v="2"/>
  </r>
  <r>
    <s v="TX500636"/>
    <x v="13"/>
    <x v="0"/>
    <n v="50.6"/>
    <n v="50.6"/>
    <d v="2025-01-28T00:00:00"/>
    <d v="2025-01-28T00:00:00"/>
    <x v="1"/>
    <x v="0"/>
    <x v="1"/>
    <x v="0"/>
    <x v="3"/>
    <x v="7"/>
    <x v="4"/>
    <x v="1"/>
  </r>
  <r>
    <s v="TX500637"/>
    <x v="4"/>
    <x v="9"/>
    <n v="22.1"/>
    <n v="110.5"/>
    <d v="2025-01-28T00:00:00"/>
    <d v="2025-02-02T00:00:00"/>
    <x v="1"/>
    <x v="0"/>
    <x v="0"/>
    <x v="0"/>
    <x v="3"/>
    <x v="0"/>
    <x v="4"/>
    <x v="1"/>
  </r>
  <r>
    <s v="TX500638"/>
    <x v="8"/>
    <x v="2"/>
    <n v="42.9"/>
    <n v="128.69999999999999"/>
    <d v="2025-01-28T00:00:00"/>
    <d v="2025-01-30T00:00:00"/>
    <x v="2"/>
    <x v="0"/>
    <x v="0"/>
    <x v="0"/>
    <x v="3"/>
    <x v="1"/>
    <x v="4"/>
    <x v="2"/>
  </r>
  <r>
    <s v="TX500639"/>
    <x v="1"/>
    <x v="5"/>
    <n v="62.4"/>
    <n v="686.4"/>
    <d v="2025-01-28T00:00:00"/>
    <d v="2025-01-30T00:00:00"/>
    <x v="2"/>
    <x v="2"/>
    <x v="0"/>
    <x v="0"/>
    <x v="3"/>
    <x v="1"/>
    <x v="4"/>
    <x v="2"/>
  </r>
  <r>
    <s v="TX500640"/>
    <x v="13"/>
    <x v="11"/>
    <n v="36.4"/>
    <n v="327.59999999999997"/>
    <d v="2025-01-28T00:00:00"/>
    <d v="2025-01-30T00:00:00"/>
    <x v="2"/>
    <x v="0"/>
    <x v="2"/>
    <x v="0"/>
    <x v="3"/>
    <x v="1"/>
    <x v="4"/>
    <x v="2"/>
  </r>
  <r>
    <s v="TX500641"/>
    <x v="0"/>
    <x v="1"/>
    <n v="22.5"/>
    <n v="45"/>
    <d v="2025-01-28T00:00:00"/>
    <d v="2025-01-31T00:00:00"/>
    <x v="1"/>
    <x v="0"/>
    <x v="0"/>
    <x v="0"/>
    <x v="3"/>
    <x v="2"/>
    <x v="4"/>
    <x v="1"/>
  </r>
  <r>
    <s v="TX500642"/>
    <x v="6"/>
    <x v="12"/>
    <n v="70.8"/>
    <n v="283.2"/>
    <d v="2025-01-28T00:00:00"/>
    <d v="2025-01-30T00:00:00"/>
    <x v="2"/>
    <x v="4"/>
    <x v="0"/>
    <x v="0"/>
    <x v="3"/>
    <x v="1"/>
    <x v="4"/>
    <x v="2"/>
  </r>
  <r>
    <s v="TX500643"/>
    <x v="6"/>
    <x v="9"/>
    <n v="56.6"/>
    <n v="283"/>
    <d v="2025-01-28T00:00:00"/>
    <d v="2025-01-30T00:00:00"/>
    <x v="1"/>
    <x v="0"/>
    <x v="1"/>
    <x v="0"/>
    <x v="4"/>
    <x v="1"/>
    <x v="4"/>
    <x v="1"/>
  </r>
  <r>
    <s v="TX500644"/>
    <x v="6"/>
    <x v="1"/>
    <n v="47.9"/>
    <n v="95.8"/>
    <d v="2025-01-28T00:00:00"/>
    <d v="2025-01-29T00:00:00"/>
    <x v="2"/>
    <x v="0"/>
    <x v="0"/>
    <x v="0"/>
    <x v="6"/>
    <x v="3"/>
    <x v="4"/>
    <x v="2"/>
  </r>
  <r>
    <s v="TX500645"/>
    <x v="6"/>
    <x v="8"/>
    <n v="78.400000000000006"/>
    <n v="627.20000000000005"/>
    <d v="2025-01-28T00:00:00"/>
    <d v="2025-01-30T00:00:00"/>
    <x v="2"/>
    <x v="1"/>
    <x v="0"/>
    <x v="0"/>
    <x v="6"/>
    <x v="1"/>
    <x v="4"/>
    <x v="2"/>
  </r>
  <r>
    <s v="TX500646"/>
    <x v="2"/>
    <x v="21"/>
    <n v="122.1"/>
    <n v="1709.3999999999999"/>
    <d v="2025-01-28T00:00:00"/>
    <d v="2025-02-02T00:00:00"/>
    <x v="2"/>
    <x v="0"/>
    <x v="2"/>
    <x v="0"/>
    <x v="6"/>
    <x v="0"/>
    <x v="4"/>
    <x v="2"/>
  </r>
  <r>
    <s v="TX500647"/>
    <x v="2"/>
    <x v="1"/>
    <n v="83.7"/>
    <n v="167.4"/>
    <d v="2025-01-29T00:00:00"/>
    <d v="2025-01-29T00:00:00"/>
    <x v="0"/>
    <x v="1"/>
    <x v="2"/>
    <x v="0"/>
    <x v="7"/>
    <x v="7"/>
    <x v="4"/>
    <x v="0"/>
  </r>
  <r>
    <s v="TX500648"/>
    <x v="3"/>
    <x v="12"/>
    <n v="97.9"/>
    <n v="391.6"/>
    <d v="2025-01-29T00:00:00"/>
    <d v="2025-02-02T00:00:00"/>
    <x v="2"/>
    <x v="3"/>
    <x v="2"/>
    <x v="0"/>
    <x v="7"/>
    <x v="5"/>
    <x v="4"/>
    <x v="2"/>
  </r>
  <r>
    <s v="TX500649"/>
    <x v="14"/>
    <x v="0"/>
    <n v="15"/>
    <n v="15"/>
    <d v="2025-01-29T00:00:00"/>
    <d v="2025-02-03T00:00:00"/>
    <x v="2"/>
    <x v="3"/>
    <x v="0"/>
    <x v="0"/>
    <x v="8"/>
    <x v="0"/>
    <x v="4"/>
    <x v="2"/>
  </r>
  <r>
    <s v="TX500650"/>
    <x v="12"/>
    <x v="2"/>
    <n v="94.6"/>
    <n v="283.79999999999995"/>
    <d v="2025-01-29T00:00:00"/>
    <d v="2025-01-30T00:00:00"/>
    <x v="1"/>
    <x v="2"/>
    <x v="1"/>
    <x v="0"/>
    <x v="8"/>
    <x v="3"/>
    <x v="4"/>
    <x v="1"/>
  </r>
  <r>
    <s v="TX500651"/>
    <x v="0"/>
    <x v="13"/>
    <n v="19.7"/>
    <n v="118.19999999999999"/>
    <d v="2025-01-29T00:00:00"/>
    <d v="2025-02-09T00:00:00"/>
    <x v="2"/>
    <x v="0"/>
    <x v="2"/>
    <x v="0"/>
    <x v="8"/>
    <x v="11"/>
    <x v="4"/>
    <x v="2"/>
  </r>
  <r>
    <s v="TX500652"/>
    <x v="7"/>
    <x v="0"/>
    <n v="46.7"/>
    <n v="46.7"/>
    <d v="2025-01-29T00:00:00"/>
    <d v="2025-02-01T00:00:00"/>
    <x v="2"/>
    <x v="2"/>
    <x v="0"/>
    <x v="0"/>
    <x v="17"/>
    <x v="2"/>
    <x v="4"/>
    <x v="2"/>
  </r>
  <r>
    <s v="TX500653"/>
    <x v="1"/>
    <x v="12"/>
    <n v="43"/>
    <n v="172"/>
    <d v="2025-01-29T00:00:00"/>
    <d v="2025-01-30T00:00:00"/>
    <x v="1"/>
    <x v="2"/>
    <x v="2"/>
    <x v="0"/>
    <x v="17"/>
    <x v="3"/>
    <x v="4"/>
    <x v="1"/>
  </r>
  <r>
    <s v="TX500654"/>
    <x v="6"/>
    <x v="2"/>
    <n v="68.2"/>
    <n v="204.60000000000002"/>
    <d v="2025-01-29T00:00:00"/>
    <d v="2025-02-04T00:00:00"/>
    <x v="2"/>
    <x v="0"/>
    <x v="0"/>
    <x v="0"/>
    <x v="9"/>
    <x v="4"/>
    <x v="4"/>
    <x v="2"/>
  </r>
  <r>
    <s v="TX500655"/>
    <x v="10"/>
    <x v="7"/>
    <n v="24.3"/>
    <n v="243"/>
    <d v="2025-01-29T00:00:00"/>
    <d v="2025-01-30T00:00:00"/>
    <x v="1"/>
    <x v="0"/>
    <x v="2"/>
    <x v="0"/>
    <x v="10"/>
    <x v="3"/>
    <x v="4"/>
    <x v="1"/>
  </r>
  <r>
    <s v="TX500656"/>
    <x v="7"/>
    <x v="1"/>
    <n v="86.8"/>
    <n v="173.6"/>
    <d v="2025-01-29T00:00:00"/>
    <d v="2025-02-02T00:00:00"/>
    <x v="2"/>
    <x v="4"/>
    <x v="2"/>
    <x v="0"/>
    <x v="11"/>
    <x v="5"/>
    <x v="4"/>
    <x v="2"/>
  </r>
  <r>
    <s v="TX500657"/>
    <x v="0"/>
    <x v="1"/>
    <n v="15.8"/>
    <n v="31.6"/>
    <d v="2025-01-29T00:00:00"/>
    <d v="2025-01-31T00:00:00"/>
    <x v="1"/>
    <x v="1"/>
    <x v="0"/>
    <x v="0"/>
    <x v="11"/>
    <x v="1"/>
    <x v="4"/>
    <x v="1"/>
  </r>
  <r>
    <s v="TX500658"/>
    <x v="2"/>
    <x v="12"/>
    <n v="61.6"/>
    <n v="246.4"/>
    <d v="2025-01-29T00:00:00"/>
    <d v="2025-01-30T00:00:00"/>
    <x v="1"/>
    <x v="2"/>
    <x v="0"/>
    <x v="0"/>
    <x v="11"/>
    <x v="3"/>
    <x v="4"/>
    <x v="1"/>
  </r>
  <r>
    <s v="TX500659"/>
    <x v="6"/>
    <x v="2"/>
    <n v="48.7"/>
    <n v="146.10000000000002"/>
    <d v="2025-01-29T00:00:00"/>
    <d v="2025-02-04T00:00:00"/>
    <x v="2"/>
    <x v="1"/>
    <x v="2"/>
    <x v="0"/>
    <x v="45"/>
    <x v="4"/>
    <x v="4"/>
    <x v="2"/>
  </r>
  <r>
    <s v="TX500660"/>
    <x v="8"/>
    <x v="12"/>
    <n v="24.3"/>
    <n v="97.2"/>
    <d v="2025-01-29T00:00:00"/>
    <d v="2025-01-31T00:00:00"/>
    <x v="2"/>
    <x v="1"/>
    <x v="2"/>
    <x v="0"/>
    <x v="21"/>
    <x v="1"/>
    <x v="4"/>
    <x v="2"/>
  </r>
  <r>
    <s v="TX500661"/>
    <x v="2"/>
    <x v="1"/>
    <n v="130.69999999999999"/>
    <n v="261.39999999999998"/>
    <d v="2025-01-29T00:00:00"/>
    <d v="2025-01-30T00:00:00"/>
    <x v="2"/>
    <x v="2"/>
    <x v="0"/>
    <x v="0"/>
    <x v="44"/>
    <x v="3"/>
    <x v="4"/>
    <x v="2"/>
  </r>
  <r>
    <s v="TX500662"/>
    <x v="10"/>
    <x v="0"/>
    <n v="26"/>
    <n v="26"/>
    <d v="2025-01-29T00:00:00"/>
    <d v="2025-01-31T00:00:00"/>
    <x v="1"/>
    <x v="0"/>
    <x v="0"/>
    <x v="0"/>
    <x v="3"/>
    <x v="1"/>
    <x v="4"/>
    <x v="1"/>
  </r>
  <r>
    <s v="TX500663"/>
    <x v="2"/>
    <x v="9"/>
    <n v="94.4"/>
    <n v="472"/>
    <d v="2025-01-29T00:00:00"/>
    <d v="2025-01-30T00:00:00"/>
    <x v="2"/>
    <x v="0"/>
    <x v="0"/>
    <x v="0"/>
    <x v="3"/>
    <x v="3"/>
    <x v="4"/>
    <x v="2"/>
  </r>
  <r>
    <s v="TX500664"/>
    <x v="0"/>
    <x v="13"/>
    <n v="23.7"/>
    <n v="142.19999999999999"/>
    <d v="2025-01-29T00:00:00"/>
    <d v="2025-01-31T00:00:00"/>
    <x v="1"/>
    <x v="2"/>
    <x v="2"/>
    <x v="0"/>
    <x v="3"/>
    <x v="1"/>
    <x v="4"/>
    <x v="1"/>
  </r>
  <r>
    <s v="TX500665"/>
    <x v="9"/>
    <x v="4"/>
    <n v="37.4"/>
    <n v="448.79999999999995"/>
    <d v="2025-01-29T00:00:00"/>
    <d v="2025-01-31T00:00:00"/>
    <x v="1"/>
    <x v="2"/>
    <x v="0"/>
    <x v="0"/>
    <x v="3"/>
    <x v="1"/>
    <x v="4"/>
    <x v="1"/>
  </r>
  <r>
    <s v="TX500666"/>
    <x v="1"/>
    <x v="34"/>
    <n v="55.2"/>
    <n v="1987.2"/>
    <d v="2025-01-29T00:00:00"/>
    <d v="2025-01-29T00:00:00"/>
    <x v="2"/>
    <x v="3"/>
    <x v="1"/>
    <x v="0"/>
    <x v="3"/>
    <x v="7"/>
    <x v="4"/>
    <x v="2"/>
  </r>
  <r>
    <s v="TX500667"/>
    <x v="2"/>
    <x v="11"/>
    <n v="57.1"/>
    <n v="513.9"/>
    <d v="2025-01-29T00:00:00"/>
    <d v="2025-01-31T00:00:00"/>
    <x v="1"/>
    <x v="0"/>
    <x v="2"/>
    <x v="0"/>
    <x v="3"/>
    <x v="1"/>
    <x v="4"/>
    <x v="1"/>
  </r>
  <r>
    <s v="TX500668"/>
    <x v="12"/>
    <x v="0"/>
    <n v="55.3"/>
    <n v="55.3"/>
    <d v="2025-01-29T00:00:00"/>
    <d v="2025-01-30T00:00:00"/>
    <x v="2"/>
    <x v="2"/>
    <x v="2"/>
    <x v="0"/>
    <x v="3"/>
    <x v="3"/>
    <x v="4"/>
    <x v="2"/>
  </r>
  <r>
    <s v="TX500669"/>
    <x v="15"/>
    <x v="3"/>
    <n v="23.9"/>
    <n v="167.29999999999998"/>
    <d v="2025-01-29T00:00:00"/>
    <d v="2025-01-30T00:00:00"/>
    <x v="2"/>
    <x v="4"/>
    <x v="1"/>
    <x v="0"/>
    <x v="3"/>
    <x v="3"/>
    <x v="4"/>
    <x v="2"/>
  </r>
  <r>
    <s v="TX500670"/>
    <x v="0"/>
    <x v="0"/>
    <n v="34.1"/>
    <n v="34.1"/>
    <d v="2025-01-29T00:00:00"/>
    <d v="2025-02-05T00:00:00"/>
    <x v="2"/>
    <x v="2"/>
    <x v="0"/>
    <x v="0"/>
    <x v="3"/>
    <x v="6"/>
    <x v="4"/>
    <x v="2"/>
  </r>
  <r>
    <s v="TX500671"/>
    <x v="12"/>
    <x v="12"/>
    <n v="38.5"/>
    <n v="154"/>
    <d v="2025-01-29T00:00:00"/>
    <d v="2025-02-09T00:00:00"/>
    <x v="2"/>
    <x v="0"/>
    <x v="0"/>
    <x v="0"/>
    <x v="3"/>
    <x v="11"/>
    <x v="4"/>
    <x v="2"/>
  </r>
  <r>
    <s v="TX500672"/>
    <x v="7"/>
    <x v="1"/>
    <n v="105"/>
    <n v="210"/>
    <d v="2025-01-29T00:00:00"/>
    <d v="2025-02-04T00:00:00"/>
    <x v="2"/>
    <x v="0"/>
    <x v="2"/>
    <x v="0"/>
    <x v="3"/>
    <x v="4"/>
    <x v="4"/>
    <x v="2"/>
  </r>
  <r>
    <s v="TX500673"/>
    <x v="8"/>
    <x v="9"/>
    <n v="45.2"/>
    <n v="226"/>
    <d v="2025-01-29T00:00:00"/>
    <d v="2025-01-31T00:00:00"/>
    <x v="2"/>
    <x v="0"/>
    <x v="2"/>
    <x v="0"/>
    <x v="3"/>
    <x v="1"/>
    <x v="4"/>
    <x v="2"/>
  </r>
  <r>
    <s v="TX500674"/>
    <x v="17"/>
    <x v="2"/>
    <n v="24.8"/>
    <n v="74.400000000000006"/>
    <d v="2025-01-29T00:00:00"/>
    <d v="2025-01-29T00:00:00"/>
    <x v="0"/>
    <x v="0"/>
    <x v="1"/>
    <x v="0"/>
    <x v="3"/>
    <x v="7"/>
    <x v="4"/>
    <x v="0"/>
  </r>
  <r>
    <s v="TX500675"/>
    <x v="11"/>
    <x v="12"/>
    <n v="43.8"/>
    <n v="175.2"/>
    <d v="2025-01-29T00:00:00"/>
    <d v="2025-02-05T00:00:00"/>
    <x v="2"/>
    <x v="1"/>
    <x v="2"/>
    <x v="0"/>
    <x v="6"/>
    <x v="6"/>
    <x v="4"/>
    <x v="2"/>
  </r>
  <r>
    <s v="TX500676"/>
    <x v="1"/>
    <x v="0"/>
    <n v="75"/>
    <n v="75"/>
    <d v="2025-01-29T00:00:00"/>
    <d v="2025-01-31T00:00:00"/>
    <x v="2"/>
    <x v="4"/>
    <x v="1"/>
    <x v="0"/>
    <x v="6"/>
    <x v="1"/>
    <x v="4"/>
    <x v="2"/>
  </r>
  <r>
    <s v="TX500677"/>
    <x v="2"/>
    <x v="0"/>
    <n v="169.9"/>
    <n v="169.9"/>
    <d v="2025-01-29T00:00:00"/>
    <d v="2025-01-30T00:00:00"/>
    <x v="1"/>
    <x v="2"/>
    <x v="0"/>
    <x v="0"/>
    <x v="6"/>
    <x v="3"/>
    <x v="4"/>
    <x v="1"/>
  </r>
  <r>
    <s v="TX500678"/>
    <x v="9"/>
    <x v="1"/>
    <n v="72.2"/>
    <n v="144.4"/>
    <d v="2025-01-29T00:00:00"/>
    <d v="2025-01-31T00:00:00"/>
    <x v="2"/>
    <x v="4"/>
    <x v="1"/>
    <x v="0"/>
    <x v="6"/>
    <x v="1"/>
    <x v="4"/>
    <x v="2"/>
  </r>
  <r>
    <s v="TX500679"/>
    <x v="0"/>
    <x v="0"/>
    <n v="20"/>
    <n v="20"/>
    <d v="2025-01-30T00:00:00"/>
    <d v="2025-02-02T00:00:00"/>
    <x v="2"/>
    <x v="2"/>
    <x v="1"/>
    <x v="0"/>
    <x v="7"/>
    <x v="2"/>
    <x v="4"/>
    <x v="2"/>
  </r>
  <r>
    <s v="TX500680"/>
    <x v="9"/>
    <x v="1"/>
    <n v="40.799999999999997"/>
    <n v="81.599999999999994"/>
    <d v="2025-01-30T00:00:00"/>
    <d v="2025-02-01T00:00:00"/>
    <x v="2"/>
    <x v="3"/>
    <x v="2"/>
    <x v="0"/>
    <x v="8"/>
    <x v="1"/>
    <x v="4"/>
    <x v="2"/>
  </r>
  <r>
    <s v="TX500681"/>
    <x v="10"/>
    <x v="12"/>
    <n v="58"/>
    <n v="232"/>
    <d v="2025-01-30T00:00:00"/>
    <d v="2025-02-03T00:00:00"/>
    <x v="2"/>
    <x v="0"/>
    <x v="0"/>
    <x v="0"/>
    <x v="8"/>
    <x v="5"/>
    <x v="4"/>
    <x v="2"/>
  </r>
  <r>
    <s v="TX500682"/>
    <x v="12"/>
    <x v="1"/>
    <n v="43.1"/>
    <n v="86.2"/>
    <d v="2025-01-30T00:00:00"/>
    <d v="2025-01-31T00:00:00"/>
    <x v="2"/>
    <x v="1"/>
    <x v="2"/>
    <x v="0"/>
    <x v="8"/>
    <x v="3"/>
    <x v="4"/>
    <x v="2"/>
  </r>
  <r>
    <s v="TX500683"/>
    <x v="6"/>
    <x v="11"/>
    <n v="74.7"/>
    <n v="672.30000000000007"/>
    <d v="2025-01-30T00:00:00"/>
    <d v="2025-02-01T00:00:00"/>
    <x v="1"/>
    <x v="0"/>
    <x v="2"/>
    <x v="0"/>
    <x v="8"/>
    <x v="1"/>
    <x v="4"/>
    <x v="1"/>
  </r>
  <r>
    <s v="TX500684"/>
    <x v="6"/>
    <x v="0"/>
    <n v="128.19999999999999"/>
    <n v="128.19999999999999"/>
    <d v="2025-01-30T00:00:00"/>
    <d v="2025-01-30T00:00:00"/>
    <x v="1"/>
    <x v="1"/>
    <x v="0"/>
    <x v="0"/>
    <x v="8"/>
    <x v="7"/>
    <x v="4"/>
    <x v="1"/>
  </r>
  <r>
    <s v="TX500685"/>
    <x v="14"/>
    <x v="12"/>
    <n v="26.7"/>
    <n v="106.8"/>
    <d v="2025-01-30T00:00:00"/>
    <d v="2025-01-31T00:00:00"/>
    <x v="1"/>
    <x v="1"/>
    <x v="0"/>
    <x v="0"/>
    <x v="8"/>
    <x v="3"/>
    <x v="4"/>
    <x v="1"/>
  </r>
  <r>
    <s v="TX500686"/>
    <x v="17"/>
    <x v="13"/>
    <n v="31.5"/>
    <n v="189"/>
    <d v="2025-01-30T00:00:00"/>
    <d v="2025-01-31T00:00:00"/>
    <x v="2"/>
    <x v="2"/>
    <x v="0"/>
    <x v="0"/>
    <x v="17"/>
    <x v="3"/>
    <x v="4"/>
    <x v="2"/>
  </r>
  <r>
    <s v="TX500687"/>
    <x v="3"/>
    <x v="3"/>
    <n v="64.7"/>
    <n v="452.90000000000003"/>
    <d v="2025-01-30T00:00:00"/>
    <d v="2025-01-31T00:00:00"/>
    <x v="2"/>
    <x v="0"/>
    <x v="2"/>
    <x v="0"/>
    <x v="9"/>
    <x v="3"/>
    <x v="4"/>
    <x v="2"/>
  </r>
  <r>
    <s v="TX500688"/>
    <x v="5"/>
    <x v="1"/>
    <n v="55.6"/>
    <n v="111.2"/>
    <d v="2025-01-30T00:00:00"/>
    <d v="2025-02-02T00:00:00"/>
    <x v="2"/>
    <x v="3"/>
    <x v="0"/>
    <x v="0"/>
    <x v="11"/>
    <x v="2"/>
    <x v="4"/>
    <x v="2"/>
  </r>
  <r>
    <s v="TX500689"/>
    <x v="3"/>
    <x v="1"/>
    <n v="36.200000000000003"/>
    <n v="72.400000000000006"/>
    <d v="2025-01-30T00:00:00"/>
    <d v="2025-01-31T00:00:00"/>
    <x v="2"/>
    <x v="3"/>
    <x v="0"/>
    <x v="0"/>
    <x v="11"/>
    <x v="3"/>
    <x v="4"/>
    <x v="2"/>
  </r>
  <r>
    <s v="TX500690"/>
    <x v="0"/>
    <x v="0"/>
    <n v="26.6"/>
    <n v="26.6"/>
    <d v="2025-01-30T00:00:00"/>
    <d v="2025-01-31T00:00:00"/>
    <x v="0"/>
    <x v="1"/>
    <x v="1"/>
    <x v="0"/>
    <x v="19"/>
    <x v="3"/>
    <x v="4"/>
    <x v="0"/>
  </r>
  <r>
    <s v="TX500691"/>
    <x v="10"/>
    <x v="12"/>
    <n v="31.5"/>
    <n v="126"/>
    <d v="2025-01-30T00:00:00"/>
    <d v="2025-02-01T00:00:00"/>
    <x v="1"/>
    <x v="0"/>
    <x v="0"/>
    <x v="0"/>
    <x v="31"/>
    <x v="1"/>
    <x v="4"/>
    <x v="1"/>
  </r>
  <r>
    <s v="TX500692"/>
    <x v="10"/>
    <x v="0"/>
    <n v="27"/>
    <n v="27"/>
    <d v="2025-01-30T00:00:00"/>
    <d v="2025-02-01T00:00:00"/>
    <x v="2"/>
    <x v="1"/>
    <x v="2"/>
    <x v="0"/>
    <x v="13"/>
    <x v="1"/>
    <x v="4"/>
    <x v="2"/>
  </r>
  <r>
    <s v="TX500693"/>
    <x v="4"/>
    <x v="0"/>
    <n v="32"/>
    <n v="32"/>
    <d v="2025-01-30T00:00:00"/>
    <d v="2025-02-02T00:00:00"/>
    <x v="1"/>
    <x v="3"/>
    <x v="0"/>
    <x v="0"/>
    <x v="21"/>
    <x v="2"/>
    <x v="4"/>
    <x v="1"/>
  </r>
  <r>
    <s v="TX500694"/>
    <x v="1"/>
    <x v="2"/>
    <n v="48.1"/>
    <n v="144.30000000000001"/>
    <d v="2025-01-30T00:00:00"/>
    <d v="2025-02-01T00:00:00"/>
    <x v="1"/>
    <x v="2"/>
    <x v="1"/>
    <x v="0"/>
    <x v="1"/>
    <x v="1"/>
    <x v="4"/>
    <x v="1"/>
  </r>
  <r>
    <s v="TX500695"/>
    <x v="9"/>
    <x v="1"/>
    <n v="43.4"/>
    <n v="86.8"/>
    <d v="2025-01-30T00:00:00"/>
    <d v="2025-01-31T00:00:00"/>
    <x v="1"/>
    <x v="1"/>
    <x v="1"/>
    <x v="0"/>
    <x v="22"/>
    <x v="3"/>
    <x v="4"/>
    <x v="1"/>
  </r>
  <r>
    <s v="TX500696"/>
    <x v="6"/>
    <x v="1"/>
    <n v="42.6"/>
    <n v="85.2"/>
    <d v="2025-01-30T00:00:00"/>
    <d v="2025-02-02T00:00:00"/>
    <x v="2"/>
    <x v="3"/>
    <x v="0"/>
    <x v="0"/>
    <x v="22"/>
    <x v="2"/>
    <x v="4"/>
    <x v="2"/>
  </r>
  <r>
    <s v="TX500697"/>
    <x v="8"/>
    <x v="1"/>
    <n v="15.9"/>
    <n v="31.8"/>
    <d v="2025-01-30T00:00:00"/>
    <d v="2025-01-31T00:00:00"/>
    <x v="2"/>
    <x v="0"/>
    <x v="0"/>
    <x v="0"/>
    <x v="34"/>
    <x v="3"/>
    <x v="4"/>
    <x v="2"/>
  </r>
  <r>
    <s v="TX500698"/>
    <x v="9"/>
    <x v="1"/>
    <n v="63.2"/>
    <n v="126.4"/>
    <d v="2025-01-30T00:00:00"/>
    <d v="2025-01-31T00:00:00"/>
    <x v="1"/>
    <x v="1"/>
    <x v="0"/>
    <x v="0"/>
    <x v="3"/>
    <x v="3"/>
    <x v="4"/>
    <x v="1"/>
  </r>
  <r>
    <s v="TX500699"/>
    <x v="7"/>
    <x v="12"/>
    <n v="64.8"/>
    <n v="259.2"/>
    <d v="2025-01-30T00:00:00"/>
    <d v="2025-02-01T00:00:00"/>
    <x v="0"/>
    <x v="4"/>
    <x v="1"/>
    <x v="0"/>
    <x v="3"/>
    <x v="1"/>
    <x v="4"/>
    <x v="0"/>
  </r>
  <r>
    <s v="TX500700"/>
    <x v="7"/>
    <x v="2"/>
    <n v="79.8"/>
    <n v="239.39999999999998"/>
    <d v="2025-01-30T00:00:00"/>
    <d v="2025-01-31T00:00:00"/>
    <x v="1"/>
    <x v="0"/>
    <x v="0"/>
    <x v="0"/>
    <x v="3"/>
    <x v="3"/>
    <x v="4"/>
    <x v="1"/>
  </r>
  <r>
    <s v="TX500701"/>
    <x v="9"/>
    <x v="0"/>
    <n v="54.4"/>
    <n v="54.4"/>
    <d v="2025-01-30T00:00:00"/>
    <d v="2025-02-01T00:00:00"/>
    <x v="2"/>
    <x v="4"/>
    <x v="2"/>
    <x v="0"/>
    <x v="3"/>
    <x v="1"/>
    <x v="4"/>
    <x v="2"/>
  </r>
  <r>
    <s v="TX500702"/>
    <x v="6"/>
    <x v="0"/>
    <n v="87.3"/>
    <n v="87.3"/>
    <d v="2025-01-30T00:00:00"/>
    <d v="2025-01-31T00:00:00"/>
    <x v="1"/>
    <x v="1"/>
    <x v="0"/>
    <x v="0"/>
    <x v="3"/>
    <x v="3"/>
    <x v="4"/>
    <x v="1"/>
  </r>
  <r>
    <s v="TX500703"/>
    <x v="8"/>
    <x v="12"/>
    <n v="32.4"/>
    <n v="129.6"/>
    <d v="2025-01-30T00:00:00"/>
    <d v="2025-01-30T00:00:00"/>
    <x v="1"/>
    <x v="1"/>
    <x v="0"/>
    <x v="0"/>
    <x v="3"/>
    <x v="7"/>
    <x v="4"/>
    <x v="1"/>
  </r>
  <r>
    <s v="TX500704"/>
    <x v="2"/>
    <x v="0"/>
    <n v="177.4"/>
    <n v="177.4"/>
    <d v="2025-01-30T00:00:00"/>
    <d v="2025-02-03T00:00:00"/>
    <x v="1"/>
    <x v="0"/>
    <x v="2"/>
    <x v="0"/>
    <x v="3"/>
    <x v="5"/>
    <x v="4"/>
    <x v="1"/>
  </r>
  <r>
    <s v="TX500705"/>
    <x v="7"/>
    <x v="1"/>
    <n v="70.099999999999994"/>
    <n v="140.19999999999999"/>
    <d v="2025-01-30T00:00:00"/>
    <d v="2025-01-31T00:00:00"/>
    <x v="1"/>
    <x v="3"/>
    <x v="1"/>
    <x v="0"/>
    <x v="3"/>
    <x v="3"/>
    <x v="4"/>
    <x v="1"/>
  </r>
  <r>
    <s v="TX500706"/>
    <x v="9"/>
    <x v="13"/>
    <n v="51.1"/>
    <n v="306.60000000000002"/>
    <d v="2025-01-30T00:00:00"/>
    <d v="2025-01-31T00:00:00"/>
    <x v="2"/>
    <x v="0"/>
    <x v="0"/>
    <x v="0"/>
    <x v="3"/>
    <x v="3"/>
    <x v="4"/>
    <x v="2"/>
  </r>
  <r>
    <s v="TX500707"/>
    <x v="2"/>
    <x v="9"/>
    <n v="79.900000000000006"/>
    <n v="399.5"/>
    <d v="2025-01-30T00:00:00"/>
    <d v="2025-02-01T00:00:00"/>
    <x v="1"/>
    <x v="3"/>
    <x v="2"/>
    <x v="0"/>
    <x v="24"/>
    <x v="1"/>
    <x v="4"/>
    <x v="1"/>
  </r>
  <r>
    <s v="TX500708"/>
    <x v="6"/>
    <x v="0"/>
    <n v="57.6"/>
    <n v="57.6"/>
    <d v="2025-01-31T00:00:00"/>
    <d v="2025-02-05T00:00:00"/>
    <x v="1"/>
    <x v="0"/>
    <x v="2"/>
    <x v="0"/>
    <x v="49"/>
    <x v="0"/>
    <x v="4"/>
    <x v="1"/>
  </r>
  <r>
    <s v="TX500709"/>
    <x v="8"/>
    <x v="7"/>
    <n v="59.7"/>
    <n v="597"/>
    <d v="2025-01-31T00:00:00"/>
    <d v="2025-02-04T00:00:00"/>
    <x v="1"/>
    <x v="2"/>
    <x v="0"/>
    <x v="0"/>
    <x v="25"/>
    <x v="5"/>
    <x v="4"/>
    <x v="1"/>
  </r>
  <r>
    <s v="TX500710"/>
    <x v="8"/>
    <x v="9"/>
    <n v="30"/>
    <n v="150"/>
    <d v="2025-01-31T00:00:00"/>
    <d v="2025-02-02T00:00:00"/>
    <x v="1"/>
    <x v="1"/>
    <x v="0"/>
    <x v="0"/>
    <x v="6"/>
    <x v="1"/>
    <x v="4"/>
    <x v="1"/>
  </r>
  <r>
    <s v="TX500711"/>
    <x v="10"/>
    <x v="1"/>
    <n v="69.2"/>
    <n v="138.4"/>
    <d v="2025-01-31T00:00:00"/>
    <d v="2025-02-02T00:00:00"/>
    <x v="0"/>
    <x v="2"/>
    <x v="1"/>
    <x v="0"/>
    <x v="6"/>
    <x v="1"/>
    <x v="4"/>
    <x v="0"/>
  </r>
  <r>
    <s v="TX500712"/>
    <x v="0"/>
    <x v="8"/>
    <n v="10.9"/>
    <n v="87.2"/>
    <d v="2025-01-31T00:00:00"/>
    <d v="2025-02-01T00:00:00"/>
    <x v="2"/>
    <x v="0"/>
    <x v="2"/>
    <x v="0"/>
    <x v="6"/>
    <x v="3"/>
    <x v="4"/>
    <x v="2"/>
  </r>
  <r>
    <s v="TX500713"/>
    <x v="16"/>
    <x v="1"/>
    <n v="48.6"/>
    <n v="97.2"/>
    <d v="2025-01-31T00:00:00"/>
    <d v="2025-02-04T00:00:00"/>
    <x v="1"/>
    <x v="1"/>
    <x v="2"/>
    <x v="0"/>
    <x v="6"/>
    <x v="5"/>
    <x v="4"/>
    <x v="1"/>
  </r>
  <r>
    <s v="TX500714"/>
    <x v="2"/>
    <x v="1"/>
    <n v="61.1"/>
    <n v="122.2"/>
    <d v="2025-01-31T00:00:00"/>
    <d v="2025-02-03T00:00:00"/>
    <x v="2"/>
    <x v="1"/>
    <x v="2"/>
    <x v="0"/>
    <x v="7"/>
    <x v="2"/>
    <x v="4"/>
    <x v="2"/>
  </r>
  <r>
    <s v="TX500715"/>
    <x v="8"/>
    <x v="1"/>
    <n v="23.2"/>
    <n v="46.4"/>
    <d v="2025-01-31T00:00:00"/>
    <d v="2025-02-01T00:00:00"/>
    <x v="1"/>
    <x v="3"/>
    <x v="2"/>
    <x v="0"/>
    <x v="8"/>
    <x v="3"/>
    <x v="4"/>
    <x v="1"/>
  </r>
  <r>
    <s v="TX500716"/>
    <x v="12"/>
    <x v="12"/>
    <n v="55.8"/>
    <n v="223.2"/>
    <d v="2025-01-31T00:00:00"/>
    <d v="2025-02-01T00:00:00"/>
    <x v="1"/>
    <x v="0"/>
    <x v="0"/>
    <x v="0"/>
    <x v="8"/>
    <x v="3"/>
    <x v="4"/>
    <x v="1"/>
  </r>
  <r>
    <s v="TX500717"/>
    <x v="9"/>
    <x v="12"/>
    <n v="24.8"/>
    <n v="99.2"/>
    <d v="2025-01-31T00:00:00"/>
    <d v="2025-02-01T00:00:00"/>
    <x v="2"/>
    <x v="0"/>
    <x v="2"/>
    <x v="0"/>
    <x v="8"/>
    <x v="3"/>
    <x v="4"/>
    <x v="2"/>
  </r>
  <r>
    <s v="TX500718"/>
    <x v="10"/>
    <x v="1"/>
    <n v="27.9"/>
    <n v="55.8"/>
    <d v="2025-01-31T00:00:00"/>
    <d v="2025-01-31T00:00:00"/>
    <x v="1"/>
    <x v="2"/>
    <x v="2"/>
    <x v="0"/>
    <x v="8"/>
    <x v="7"/>
    <x v="4"/>
    <x v="1"/>
  </r>
  <r>
    <s v="TX500719"/>
    <x v="10"/>
    <x v="13"/>
    <n v="51.1"/>
    <n v="306.60000000000002"/>
    <d v="2025-01-31T00:00:00"/>
    <d v="2025-01-31T00:00:00"/>
    <x v="2"/>
    <x v="3"/>
    <x v="0"/>
    <x v="0"/>
    <x v="8"/>
    <x v="7"/>
    <x v="4"/>
    <x v="2"/>
  </r>
  <r>
    <s v="TX500720"/>
    <x v="17"/>
    <x v="5"/>
    <n v="32.700000000000003"/>
    <n v="359.70000000000005"/>
    <d v="2025-01-31T00:00:00"/>
    <d v="2025-02-01T00:00:00"/>
    <x v="1"/>
    <x v="4"/>
    <x v="2"/>
    <x v="0"/>
    <x v="17"/>
    <x v="3"/>
    <x v="4"/>
    <x v="1"/>
  </r>
  <r>
    <s v="TX500721"/>
    <x v="8"/>
    <x v="12"/>
    <n v="22.5"/>
    <n v="90"/>
    <d v="2025-01-31T00:00:00"/>
    <d v="2025-01-31T00:00:00"/>
    <x v="1"/>
    <x v="0"/>
    <x v="2"/>
    <x v="0"/>
    <x v="26"/>
    <x v="7"/>
    <x v="4"/>
    <x v="1"/>
  </r>
  <r>
    <s v="TX500722"/>
    <x v="0"/>
    <x v="3"/>
    <n v="14.6"/>
    <n v="102.2"/>
    <d v="2025-01-31T00:00:00"/>
    <d v="2025-02-01T00:00:00"/>
    <x v="2"/>
    <x v="2"/>
    <x v="0"/>
    <x v="0"/>
    <x v="41"/>
    <x v="3"/>
    <x v="4"/>
    <x v="2"/>
  </r>
  <r>
    <s v="TX500723"/>
    <x v="5"/>
    <x v="2"/>
    <n v="32.5"/>
    <n v="97.5"/>
    <d v="2025-01-31T00:00:00"/>
    <d v="2025-02-03T00:00:00"/>
    <x v="1"/>
    <x v="0"/>
    <x v="0"/>
    <x v="0"/>
    <x v="10"/>
    <x v="2"/>
    <x v="4"/>
    <x v="1"/>
  </r>
  <r>
    <s v="TX500724"/>
    <x v="18"/>
    <x v="0"/>
    <n v="78.099999999999994"/>
    <n v="78.099999999999994"/>
    <d v="2025-01-31T00:00:00"/>
    <d v="2025-02-03T00:00:00"/>
    <x v="1"/>
    <x v="0"/>
    <x v="2"/>
    <x v="0"/>
    <x v="11"/>
    <x v="2"/>
    <x v="4"/>
    <x v="1"/>
  </r>
  <r>
    <s v="TX500725"/>
    <x v="12"/>
    <x v="13"/>
    <n v="110.2"/>
    <n v="661.2"/>
    <d v="2025-01-31T00:00:00"/>
    <d v="2025-01-31T00:00:00"/>
    <x v="1"/>
    <x v="1"/>
    <x v="4"/>
    <x v="0"/>
    <x v="13"/>
    <x v="7"/>
    <x v="4"/>
    <x v="1"/>
  </r>
  <r>
    <s v="TX500726"/>
    <x v="6"/>
    <x v="2"/>
    <n v="86.3"/>
    <n v="258.89999999999998"/>
    <d v="2025-01-31T00:00:00"/>
    <d v="2025-02-02T00:00:00"/>
    <x v="2"/>
    <x v="3"/>
    <x v="0"/>
    <x v="0"/>
    <x v="21"/>
    <x v="1"/>
    <x v="4"/>
    <x v="2"/>
  </r>
  <r>
    <s v="TX500727"/>
    <x v="1"/>
    <x v="13"/>
    <n v="73.599999999999994"/>
    <n v="441.59999999999997"/>
    <d v="2025-01-31T00:00:00"/>
    <d v="2025-02-02T00:00:00"/>
    <x v="3"/>
    <x v="3"/>
    <x v="4"/>
    <x v="0"/>
    <x v="44"/>
    <x v="1"/>
    <x v="4"/>
    <x v="3"/>
  </r>
  <r>
    <s v="TX500728"/>
    <x v="6"/>
    <x v="15"/>
    <n v="67.7"/>
    <n v="880.1"/>
    <d v="2025-01-31T00:00:00"/>
    <d v="2025-02-02T00:00:00"/>
    <x v="2"/>
    <x v="0"/>
    <x v="2"/>
    <x v="0"/>
    <x v="3"/>
    <x v="1"/>
    <x v="4"/>
    <x v="2"/>
  </r>
  <r>
    <s v="TX500729"/>
    <x v="7"/>
    <x v="13"/>
    <n v="142.19999999999999"/>
    <n v="853.19999999999993"/>
    <d v="2025-01-31T00:00:00"/>
    <d v="2025-02-01T00:00:00"/>
    <x v="2"/>
    <x v="2"/>
    <x v="4"/>
    <x v="0"/>
    <x v="3"/>
    <x v="3"/>
    <x v="4"/>
    <x v="2"/>
  </r>
  <r>
    <s v="TX500730"/>
    <x v="1"/>
    <x v="11"/>
    <n v="45.8"/>
    <n v="412.2"/>
    <d v="2025-01-31T00:00:00"/>
    <d v="2025-02-02T00:00:00"/>
    <x v="2"/>
    <x v="1"/>
    <x v="2"/>
    <x v="0"/>
    <x v="3"/>
    <x v="1"/>
    <x v="4"/>
    <x v="2"/>
  </r>
  <r>
    <s v="TX500731"/>
    <x v="10"/>
    <x v="1"/>
    <n v="24.2"/>
    <n v="48.4"/>
    <d v="2025-02-01T00:00:00"/>
    <d v="2025-02-04T00:00:00"/>
    <x v="2"/>
    <x v="3"/>
    <x v="2"/>
    <x v="0"/>
    <x v="3"/>
    <x v="2"/>
    <x v="4"/>
    <x v="2"/>
  </r>
  <r>
    <s v="TX500732"/>
    <x v="2"/>
    <x v="2"/>
    <n v="144.9"/>
    <n v="434.70000000000005"/>
    <d v="2025-02-01T00:00:00"/>
    <d v="2025-02-02T00:00:00"/>
    <x v="3"/>
    <x v="2"/>
    <x v="2"/>
    <x v="0"/>
    <x v="3"/>
    <x v="3"/>
    <x v="4"/>
    <x v="3"/>
  </r>
  <r>
    <s v="TX500733"/>
    <x v="11"/>
    <x v="9"/>
    <n v="32.799999999999997"/>
    <n v="164"/>
    <d v="2025-02-01T00:00:00"/>
    <d v="2025-02-04T00:00:00"/>
    <x v="2"/>
    <x v="2"/>
    <x v="0"/>
    <x v="0"/>
    <x v="23"/>
    <x v="2"/>
    <x v="4"/>
    <x v="2"/>
  </r>
  <r>
    <s v="TX500734"/>
    <x v="7"/>
    <x v="7"/>
    <n v="35.700000000000003"/>
    <n v="357"/>
    <d v="2025-02-01T00:00:00"/>
    <d v="2025-02-01T00:00:00"/>
    <x v="2"/>
    <x v="0"/>
    <x v="1"/>
    <x v="0"/>
    <x v="6"/>
    <x v="7"/>
    <x v="4"/>
    <x v="2"/>
  </r>
  <r>
    <s v="TX500735"/>
    <x v="9"/>
    <x v="1"/>
    <n v="54.6"/>
    <n v="109.2"/>
    <d v="2025-02-01T00:00:00"/>
    <d v="2025-02-02T00:00:00"/>
    <x v="2"/>
    <x v="2"/>
    <x v="0"/>
    <x v="0"/>
    <x v="6"/>
    <x v="3"/>
    <x v="4"/>
    <x v="2"/>
  </r>
  <r>
    <s v="TX500736"/>
    <x v="8"/>
    <x v="1"/>
    <n v="35.700000000000003"/>
    <n v="71.400000000000006"/>
    <d v="2025-02-01T00:00:00"/>
    <d v="2025-02-04T00:00:00"/>
    <x v="0"/>
    <x v="0"/>
    <x v="1"/>
    <x v="0"/>
    <x v="6"/>
    <x v="2"/>
    <x v="4"/>
    <x v="0"/>
  </r>
  <r>
    <s v="TX500737"/>
    <x v="10"/>
    <x v="1"/>
    <n v="52.4"/>
    <n v="104.8"/>
    <d v="2025-02-01T00:00:00"/>
    <d v="2025-02-01T00:00:00"/>
    <x v="2"/>
    <x v="0"/>
    <x v="3"/>
    <x v="0"/>
    <x v="6"/>
    <x v="7"/>
    <x v="4"/>
    <x v="2"/>
  </r>
  <r>
    <s v="TX500738"/>
    <x v="8"/>
    <x v="21"/>
    <n v="16.2"/>
    <n v="226.79999999999998"/>
    <d v="2025-02-01T00:00:00"/>
    <d v="2025-02-02T00:00:00"/>
    <x v="0"/>
    <x v="0"/>
    <x v="1"/>
    <x v="0"/>
    <x v="8"/>
    <x v="3"/>
    <x v="4"/>
    <x v="0"/>
  </r>
  <r>
    <s v="TX500739"/>
    <x v="6"/>
    <x v="35"/>
    <n v="42.8"/>
    <n v="2011.6"/>
    <d v="2025-02-01T00:00:00"/>
    <d v="2025-02-02T00:00:00"/>
    <x v="2"/>
    <x v="0"/>
    <x v="0"/>
    <x v="0"/>
    <x v="8"/>
    <x v="3"/>
    <x v="4"/>
    <x v="2"/>
  </r>
  <r>
    <s v="TX500740"/>
    <x v="6"/>
    <x v="11"/>
    <n v="144.4"/>
    <n v="1299.6000000000001"/>
    <d v="2025-02-01T00:00:00"/>
    <d v="2025-02-04T00:00:00"/>
    <x v="2"/>
    <x v="4"/>
    <x v="0"/>
    <x v="0"/>
    <x v="8"/>
    <x v="2"/>
    <x v="4"/>
    <x v="2"/>
  </r>
  <r>
    <s v="TX500741"/>
    <x v="3"/>
    <x v="34"/>
    <n v="30.6"/>
    <n v="1101.6000000000001"/>
    <d v="2025-02-01T00:00:00"/>
    <d v="2025-02-05T00:00:00"/>
    <x v="2"/>
    <x v="2"/>
    <x v="2"/>
    <x v="0"/>
    <x v="11"/>
    <x v="5"/>
    <x v="4"/>
    <x v="2"/>
  </r>
  <r>
    <s v="TX500742"/>
    <x v="2"/>
    <x v="1"/>
    <n v="117.5"/>
    <n v="235"/>
    <d v="2025-02-01T00:00:00"/>
    <d v="2025-02-02T00:00:00"/>
    <x v="1"/>
    <x v="0"/>
    <x v="0"/>
    <x v="0"/>
    <x v="19"/>
    <x v="3"/>
    <x v="4"/>
    <x v="1"/>
  </r>
  <r>
    <s v="TX500743"/>
    <x v="6"/>
    <x v="1"/>
    <n v="105.7"/>
    <n v="211.4"/>
    <d v="2025-02-01T00:00:00"/>
    <d v="2025-02-02T00:00:00"/>
    <x v="2"/>
    <x v="2"/>
    <x v="2"/>
    <x v="0"/>
    <x v="21"/>
    <x v="3"/>
    <x v="4"/>
    <x v="2"/>
  </r>
  <r>
    <s v="TX500744"/>
    <x v="3"/>
    <x v="2"/>
    <n v="133.69999999999999"/>
    <n v="401.09999999999997"/>
    <d v="2025-02-01T00:00:00"/>
    <d v="2025-02-02T00:00:00"/>
    <x v="0"/>
    <x v="4"/>
    <x v="2"/>
    <x v="0"/>
    <x v="21"/>
    <x v="3"/>
    <x v="4"/>
    <x v="0"/>
  </r>
  <r>
    <s v="TX500745"/>
    <x v="4"/>
    <x v="9"/>
    <n v="46.8"/>
    <n v="234"/>
    <d v="2025-02-02T00:00:00"/>
    <d v="2025-02-10T00:00:00"/>
    <x v="2"/>
    <x v="0"/>
    <x v="1"/>
    <x v="0"/>
    <x v="21"/>
    <x v="9"/>
    <x v="5"/>
    <x v="2"/>
  </r>
  <r>
    <s v="TX500746"/>
    <x v="10"/>
    <x v="2"/>
    <n v="58.4"/>
    <n v="175.2"/>
    <d v="2025-02-02T00:00:00"/>
    <d v="2025-02-04T00:00:00"/>
    <x v="2"/>
    <x v="0"/>
    <x v="0"/>
    <x v="0"/>
    <x v="1"/>
    <x v="1"/>
    <x v="5"/>
    <x v="2"/>
  </r>
  <r>
    <s v="TX500747"/>
    <x v="6"/>
    <x v="11"/>
    <n v="65.099999999999994"/>
    <n v="585.9"/>
    <d v="2025-02-02T00:00:00"/>
    <d v="2025-02-06T00:00:00"/>
    <x v="1"/>
    <x v="1"/>
    <x v="2"/>
    <x v="0"/>
    <x v="22"/>
    <x v="5"/>
    <x v="5"/>
    <x v="1"/>
  </r>
  <r>
    <s v="TX500748"/>
    <x v="8"/>
    <x v="0"/>
    <n v="18.600000000000001"/>
    <n v="18.600000000000001"/>
    <d v="2025-02-02T00:00:00"/>
    <d v="2025-02-05T00:00:00"/>
    <x v="2"/>
    <x v="0"/>
    <x v="4"/>
    <x v="0"/>
    <x v="22"/>
    <x v="2"/>
    <x v="5"/>
    <x v="2"/>
  </r>
  <r>
    <s v="TX500749"/>
    <x v="1"/>
    <x v="5"/>
    <n v="92.3"/>
    <n v="1015.3"/>
    <d v="2025-02-02T00:00:00"/>
    <d v="2025-02-04T00:00:00"/>
    <x v="1"/>
    <x v="1"/>
    <x v="0"/>
    <x v="0"/>
    <x v="3"/>
    <x v="1"/>
    <x v="5"/>
    <x v="1"/>
  </r>
  <r>
    <s v="TX500750"/>
    <x v="6"/>
    <x v="2"/>
    <n v="81.7"/>
    <n v="245.10000000000002"/>
    <d v="2025-02-02T00:00:00"/>
    <d v="2025-02-03T00:00:00"/>
    <x v="0"/>
    <x v="4"/>
    <x v="4"/>
    <x v="0"/>
    <x v="3"/>
    <x v="3"/>
    <x v="5"/>
    <x v="0"/>
  </r>
  <r>
    <s v="TX500751"/>
    <x v="8"/>
    <x v="1"/>
    <n v="40.9"/>
    <n v="81.8"/>
    <d v="2025-02-02T00:00:00"/>
    <d v="2025-02-04T00:00:00"/>
    <x v="1"/>
    <x v="0"/>
    <x v="1"/>
    <x v="0"/>
    <x v="3"/>
    <x v="1"/>
    <x v="5"/>
    <x v="1"/>
  </r>
  <r>
    <s v="TX500752"/>
    <x v="6"/>
    <x v="12"/>
    <n v="43.2"/>
    <n v="172.8"/>
    <d v="2025-02-02T00:00:00"/>
    <d v="2025-02-08T00:00:00"/>
    <x v="2"/>
    <x v="0"/>
    <x v="1"/>
    <x v="0"/>
    <x v="3"/>
    <x v="4"/>
    <x v="5"/>
    <x v="2"/>
  </r>
  <r>
    <s v="TX500753"/>
    <x v="8"/>
    <x v="5"/>
    <n v="25.8"/>
    <n v="283.8"/>
    <d v="2025-02-02T00:00:00"/>
    <d v="2025-02-05T00:00:00"/>
    <x v="1"/>
    <x v="2"/>
    <x v="1"/>
    <x v="0"/>
    <x v="3"/>
    <x v="2"/>
    <x v="5"/>
    <x v="1"/>
  </r>
  <r>
    <s v="TX500754"/>
    <x v="15"/>
    <x v="12"/>
    <n v="36.4"/>
    <n v="145.6"/>
    <d v="2025-02-02T00:00:00"/>
    <d v="2025-02-03T00:00:00"/>
    <x v="1"/>
    <x v="0"/>
    <x v="0"/>
    <x v="0"/>
    <x v="3"/>
    <x v="3"/>
    <x v="5"/>
    <x v="1"/>
  </r>
  <r>
    <s v="TX500755"/>
    <x v="10"/>
    <x v="0"/>
    <n v="59.1"/>
    <n v="59.1"/>
    <d v="2025-02-02T00:00:00"/>
    <d v="2025-02-03T00:00:00"/>
    <x v="2"/>
    <x v="2"/>
    <x v="0"/>
    <x v="0"/>
    <x v="7"/>
    <x v="3"/>
    <x v="5"/>
    <x v="2"/>
  </r>
  <r>
    <s v="TX500756"/>
    <x v="2"/>
    <x v="14"/>
    <n v="74.5"/>
    <n v="1266.5"/>
    <d v="2025-02-02T00:00:00"/>
    <d v="2025-02-04T00:00:00"/>
    <x v="1"/>
    <x v="4"/>
    <x v="0"/>
    <x v="0"/>
    <x v="18"/>
    <x v="1"/>
    <x v="5"/>
    <x v="1"/>
  </r>
  <r>
    <s v="TX500757"/>
    <x v="5"/>
    <x v="0"/>
    <n v="72.8"/>
    <n v="72.8"/>
    <d v="2025-02-02T00:00:00"/>
    <d v="2025-02-03T00:00:00"/>
    <x v="2"/>
    <x v="0"/>
    <x v="1"/>
    <x v="0"/>
    <x v="19"/>
    <x v="3"/>
    <x v="5"/>
    <x v="2"/>
  </r>
  <r>
    <s v="TX500758"/>
    <x v="6"/>
    <x v="12"/>
    <n v="137.30000000000001"/>
    <n v="549.20000000000005"/>
    <d v="2025-02-02T00:00:00"/>
    <d v="2025-02-05T00:00:00"/>
    <x v="2"/>
    <x v="0"/>
    <x v="0"/>
    <x v="0"/>
    <x v="13"/>
    <x v="2"/>
    <x v="5"/>
    <x v="2"/>
  </r>
  <r>
    <s v="TX500759"/>
    <x v="1"/>
    <x v="2"/>
    <n v="48.7"/>
    <n v="146.10000000000002"/>
    <d v="2025-02-02T00:00:00"/>
    <d v="2025-02-07T00:00:00"/>
    <x v="2"/>
    <x v="0"/>
    <x v="1"/>
    <x v="0"/>
    <x v="21"/>
    <x v="0"/>
    <x v="5"/>
    <x v="2"/>
  </r>
  <r>
    <s v="TX500760"/>
    <x v="6"/>
    <x v="12"/>
    <n v="53.7"/>
    <n v="214.8"/>
    <d v="2025-02-02T00:00:00"/>
    <d v="2025-02-06T00:00:00"/>
    <x v="1"/>
    <x v="1"/>
    <x v="4"/>
    <x v="0"/>
    <x v="2"/>
    <x v="5"/>
    <x v="5"/>
    <x v="1"/>
  </r>
  <r>
    <s v="TX500761"/>
    <x v="2"/>
    <x v="3"/>
    <n v="100.9"/>
    <n v="706.30000000000007"/>
    <d v="2025-02-02T00:00:00"/>
    <d v="2025-02-04T00:00:00"/>
    <x v="2"/>
    <x v="0"/>
    <x v="1"/>
    <x v="0"/>
    <x v="2"/>
    <x v="1"/>
    <x v="5"/>
    <x v="2"/>
  </r>
  <r>
    <s v="TX500762"/>
    <x v="10"/>
    <x v="1"/>
    <n v="41.8"/>
    <n v="83.6"/>
    <d v="2025-02-02T00:00:00"/>
    <d v="2025-02-06T00:00:00"/>
    <x v="1"/>
    <x v="3"/>
    <x v="2"/>
    <x v="0"/>
    <x v="22"/>
    <x v="5"/>
    <x v="5"/>
    <x v="1"/>
  </r>
  <r>
    <s v="TX500763"/>
    <x v="4"/>
    <x v="8"/>
    <n v="28.5"/>
    <n v="228"/>
    <d v="2025-02-02T00:00:00"/>
    <d v="2025-02-04T00:00:00"/>
    <x v="1"/>
    <x v="2"/>
    <x v="1"/>
    <x v="0"/>
    <x v="3"/>
    <x v="1"/>
    <x v="5"/>
    <x v="1"/>
  </r>
  <r>
    <s v="TX500764"/>
    <x v="7"/>
    <x v="12"/>
    <n v="88.9"/>
    <n v="355.6"/>
    <d v="2025-02-02T00:00:00"/>
    <d v="2025-02-05T00:00:00"/>
    <x v="2"/>
    <x v="0"/>
    <x v="2"/>
    <x v="0"/>
    <x v="3"/>
    <x v="2"/>
    <x v="5"/>
    <x v="2"/>
  </r>
  <r>
    <s v="TX500765"/>
    <x v="6"/>
    <x v="0"/>
    <n v="62.5"/>
    <n v="62.5"/>
    <d v="2025-02-02T00:00:00"/>
    <d v="2025-02-11T00:00:00"/>
    <x v="2"/>
    <x v="0"/>
    <x v="2"/>
    <x v="0"/>
    <x v="3"/>
    <x v="8"/>
    <x v="5"/>
    <x v="2"/>
  </r>
  <r>
    <s v="TX500766"/>
    <x v="1"/>
    <x v="2"/>
    <n v="46.9"/>
    <n v="140.69999999999999"/>
    <d v="2025-02-02T00:00:00"/>
    <d v="2025-02-03T00:00:00"/>
    <x v="1"/>
    <x v="0"/>
    <x v="2"/>
    <x v="0"/>
    <x v="3"/>
    <x v="3"/>
    <x v="5"/>
    <x v="1"/>
  </r>
  <r>
    <s v="TX500767"/>
    <x v="8"/>
    <x v="2"/>
    <n v="45"/>
    <n v="135"/>
    <d v="2025-02-02T00:00:00"/>
    <d v="2025-02-16T00:00:00"/>
    <x v="1"/>
    <x v="1"/>
    <x v="0"/>
    <x v="0"/>
    <x v="3"/>
    <x v="12"/>
    <x v="5"/>
    <x v="1"/>
  </r>
  <r>
    <s v="TX500768"/>
    <x v="6"/>
    <x v="2"/>
    <n v="45.2"/>
    <n v="135.60000000000002"/>
    <d v="2025-02-02T00:00:00"/>
    <d v="2025-02-04T00:00:00"/>
    <x v="1"/>
    <x v="4"/>
    <x v="2"/>
    <x v="0"/>
    <x v="3"/>
    <x v="1"/>
    <x v="5"/>
    <x v="1"/>
  </r>
  <r>
    <s v="TX500769"/>
    <x v="4"/>
    <x v="1"/>
    <n v="60.1"/>
    <n v="120.2"/>
    <d v="2025-02-02T00:00:00"/>
    <d v="2025-02-03T00:00:00"/>
    <x v="2"/>
    <x v="0"/>
    <x v="2"/>
    <x v="0"/>
    <x v="3"/>
    <x v="3"/>
    <x v="5"/>
    <x v="2"/>
  </r>
  <r>
    <s v="TX500770"/>
    <x v="12"/>
    <x v="12"/>
    <n v="118.7"/>
    <n v="474.8"/>
    <d v="2025-02-02T00:00:00"/>
    <d v="2025-02-04T00:00:00"/>
    <x v="2"/>
    <x v="0"/>
    <x v="0"/>
    <x v="0"/>
    <x v="3"/>
    <x v="1"/>
    <x v="5"/>
    <x v="2"/>
  </r>
  <r>
    <s v="TX500771"/>
    <x v="9"/>
    <x v="0"/>
    <n v="57.8"/>
    <n v="57.8"/>
    <d v="2025-02-02T00:00:00"/>
    <d v="2025-02-11T00:00:00"/>
    <x v="2"/>
    <x v="1"/>
    <x v="0"/>
    <x v="0"/>
    <x v="3"/>
    <x v="8"/>
    <x v="5"/>
    <x v="2"/>
  </r>
  <r>
    <s v="TX500772"/>
    <x v="4"/>
    <x v="0"/>
    <n v="19.5"/>
    <n v="19.5"/>
    <d v="2025-02-02T00:00:00"/>
    <d v="2025-02-03T00:00:00"/>
    <x v="1"/>
    <x v="1"/>
    <x v="1"/>
    <x v="0"/>
    <x v="3"/>
    <x v="3"/>
    <x v="5"/>
    <x v="1"/>
  </r>
  <r>
    <s v="TX500773"/>
    <x v="12"/>
    <x v="0"/>
    <n v="42.6"/>
    <n v="42.6"/>
    <d v="2025-02-02T00:00:00"/>
    <d v="2025-02-03T00:00:00"/>
    <x v="1"/>
    <x v="0"/>
    <x v="1"/>
    <x v="0"/>
    <x v="3"/>
    <x v="3"/>
    <x v="5"/>
    <x v="1"/>
  </r>
  <r>
    <s v="TX500774"/>
    <x v="6"/>
    <x v="1"/>
    <n v="74.8"/>
    <n v="149.6"/>
    <d v="2025-02-02T00:00:00"/>
    <d v="2025-02-03T00:00:00"/>
    <x v="2"/>
    <x v="3"/>
    <x v="2"/>
    <x v="0"/>
    <x v="37"/>
    <x v="3"/>
    <x v="5"/>
    <x v="2"/>
  </r>
  <r>
    <s v="TX500775"/>
    <x v="8"/>
    <x v="2"/>
    <n v="32.5"/>
    <n v="97.5"/>
    <d v="2025-02-02T00:00:00"/>
    <d v="2025-02-03T00:00:00"/>
    <x v="1"/>
    <x v="2"/>
    <x v="4"/>
    <x v="0"/>
    <x v="16"/>
    <x v="3"/>
    <x v="5"/>
    <x v="1"/>
  </r>
  <r>
    <s v="TX500776"/>
    <x v="2"/>
    <x v="2"/>
    <n v="60.5"/>
    <n v="181.5"/>
    <d v="2025-02-02T00:00:00"/>
    <d v="2025-02-02T00:00:00"/>
    <x v="2"/>
    <x v="1"/>
    <x v="2"/>
    <x v="0"/>
    <x v="25"/>
    <x v="7"/>
    <x v="5"/>
    <x v="2"/>
  </r>
  <r>
    <s v="TX500777"/>
    <x v="1"/>
    <x v="3"/>
    <n v="57.2"/>
    <n v="400.40000000000003"/>
    <d v="2025-02-02T00:00:00"/>
    <d v="2025-02-04T00:00:00"/>
    <x v="0"/>
    <x v="2"/>
    <x v="0"/>
    <x v="0"/>
    <x v="25"/>
    <x v="1"/>
    <x v="5"/>
    <x v="0"/>
  </r>
  <r>
    <s v="TX500778"/>
    <x v="16"/>
    <x v="1"/>
    <n v="112"/>
    <n v="224"/>
    <d v="2025-02-02T00:00:00"/>
    <d v="2025-02-03T00:00:00"/>
    <x v="2"/>
    <x v="1"/>
    <x v="1"/>
    <x v="0"/>
    <x v="5"/>
    <x v="3"/>
    <x v="5"/>
    <x v="2"/>
  </r>
  <r>
    <s v="TX500779"/>
    <x v="7"/>
    <x v="7"/>
    <n v="49"/>
    <n v="490"/>
    <d v="2025-02-02T00:00:00"/>
    <d v="2025-02-03T00:00:00"/>
    <x v="3"/>
    <x v="2"/>
    <x v="1"/>
    <x v="0"/>
    <x v="6"/>
    <x v="3"/>
    <x v="5"/>
    <x v="3"/>
  </r>
  <r>
    <s v="TX500780"/>
    <x v="0"/>
    <x v="1"/>
    <n v="33.700000000000003"/>
    <n v="67.400000000000006"/>
    <d v="2025-02-02T00:00:00"/>
    <d v="2025-02-06T00:00:00"/>
    <x v="2"/>
    <x v="3"/>
    <x v="0"/>
    <x v="0"/>
    <x v="6"/>
    <x v="5"/>
    <x v="5"/>
    <x v="2"/>
  </r>
  <r>
    <s v="TX500781"/>
    <x v="4"/>
    <x v="2"/>
    <n v="35.6"/>
    <n v="106.80000000000001"/>
    <d v="2025-02-02T00:00:00"/>
    <d v="2025-02-05T00:00:00"/>
    <x v="2"/>
    <x v="0"/>
    <x v="2"/>
    <x v="0"/>
    <x v="6"/>
    <x v="2"/>
    <x v="5"/>
    <x v="2"/>
  </r>
  <r>
    <s v="TX500782"/>
    <x v="4"/>
    <x v="36"/>
    <n v="30.4"/>
    <n v="1064"/>
    <d v="2025-02-03T00:00:00"/>
    <d v="2025-02-03T00:00:00"/>
    <x v="2"/>
    <x v="0"/>
    <x v="1"/>
    <x v="0"/>
    <x v="7"/>
    <x v="7"/>
    <x v="5"/>
    <x v="2"/>
  </r>
  <r>
    <s v="TX500783"/>
    <x v="10"/>
    <x v="4"/>
    <n v="50.2"/>
    <n v="602.40000000000009"/>
    <d v="2025-02-03T00:00:00"/>
    <d v="2025-02-04T00:00:00"/>
    <x v="1"/>
    <x v="4"/>
    <x v="0"/>
    <x v="0"/>
    <x v="8"/>
    <x v="3"/>
    <x v="5"/>
    <x v="1"/>
  </r>
  <r>
    <s v="TX500784"/>
    <x v="1"/>
    <x v="1"/>
    <n v="43.7"/>
    <n v="87.4"/>
    <d v="2025-02-03T00:00:00"/>
    <d v="2025-02-05T00:00:00"/>
    <x v="2"/>
    <x v="0"/>
    <x v="0"/>
    <x v="0"/>
    <x v="8"/>
    <x v="1"/>
    <x v="5"/>
    <x v="2"/>
  </r>
  <r>
    <s v="TX500785"/>
    <x v="10"/>
    <x v="0"/>
    <n v="33.299999999999997"/>
    <n v="33.299999999999997"/>
    <d v="2025-02-03T00:00:00"/>
    <d v="2025-02-04T00:00:00"/>
    <x v="2"/>
    <x v="2"/>
    <x v="1"/>
    <x v="0"/>
    <x v="8"/>
    <x v="3"/>
    <x v="5"/>
    <x v="2"/>
  </r>
  <r>
    <s v="TX500786"/>
    <x v="8"/>
    <x v="12"/>
    <n v="15.1"/>
    <n v="60.4"/>
    <d v="2025-02-03T00:00:00"/>
    <d v="2025-02-05T00:00:00"/>
    <x v="2"/>
    <x v="4"/>
    <x v="2"/>
    <x v="0"/>
    <x v="8"/>
    <x v="1"/>
    <x v="5"/>
    <x v="2"/>
  </r>
  <r>
    <s v="TX500787"/>
    <x v="6"/>
    <x v="9"/>
    <n v="118.2"/>
    <n v="591"/>
    <d v="2025-02-03T00:00:00"/>
    <d v="2025-02-04T00:00:00"/>
    <x v="2"/>
    <x v="3"/>
    <x v="4"/>
    <x v="0"/>
    <x v="8"/>
    <x v="3"/>
    <x v="5"/>
    <x v="2"/>
  </r>
  <r>
    <s v="TX500788"/>
    <x v="10"/>
    <x v="2"/>
    <n v="28.9"/>
    <n v="86.699999999999989"/>
    <d v="2025-02-03T00:00:00"/>
    <d v="2025-02-05T00:00:00"/>
    <x v="2"/>
    <x v="2"/>
    <x v="1"/>
    <x v="0"/>
    <x v="8"/>
    <x v="1"/>
    <x v="5"/>
    <x v="2"/>
  </r>
  <r>
    <s v="TX500789"/>
    <x v="4"/>
    <x v="2"/>
    <n v="55.6"/>
    <n v="166.8"/>
    <d v="2025-02-03T00:00:00"/>
    <d v="2025-02-04T00:00:00"/>
    <x v="1"/>
    <x v="0"/>
    <x v="1"/>
    <x v="0"/>
    <x v="8"/>
    <x v="3"/>
    <x v="5"/>
    <x v="1"/>
  </r>
  <r>
    <s v="TX500790"/>
    <x v="9"/>
    <x v="12"/>
    <n v="25.6"/>
    <n v="102.4"/>
    <d v="2025-02-03T00:00:00"/>
    <d v="2025-02-05T00:00:00"/>
    <x v="2"/>
    <x v="0"/>
    <x v="1"/>
    <x v="0"/>
    <x v="8"/>
    <x v="1"/>
    <x v="5"/>
    <x v="2"/>
  </r>
  <r>
    <s v="TX500791"/>
    <x v="7"/>
    <x v="2"/>
    <n v="31.3"/>
    <n v="93.9"/>
    <d v="2025-02-03T00:00:00"/>
    <d v="2025-02-04T00:00:00"/>
    <x v="1"/>
    <x v="0"/>
    <x v="0"/>
    <x v="0"/>
    <x v="17"/>
    <x v="3"/>
    <x v="5"/>
    <x v="1"/>
  </r>
  <r>
    <s v="TX500792"/>
    <x v="0"/>
    <x v="2"/>
    <n v="22.1"/>
    <n v="66.300000000000011"/>
    <d v="2025-02-03T00:00:00"/>
    <d v="2025-02-07T00:00:00"/>
    <x v="1"/>
    <x v="0"/>
    <x v="0"/>
    <x v="0"/>
    <x v="17"/>
    <x v="5"/>
    <x v="5"/>
    <x v="1"/>
  </r>
  <r>
    <s v="TX500793"/>
    <x v="2"/>
    <x v="21"/>
    <n v="99.4"/>
    <n v="1391.6000000000001"/>
    <d v="2025-02-03T00:00:00"/>
    <d v="2025-02-04T00:00:00"/>
    <x v="1"/>
    <x v="1"/>
    <x v="0"/>
    <x v="0"/>
    <x v="11"/>
    <x v="3"/>
    <x v="5"/>
    <x v="1"/>
  </r>
  <r>
    <s v="TX500794"/>
    <x v="7"/>
    <x v="13"/>
    <n v="66.599999999999994"/>
    <n v="399.59999999999997"/>
    <d v="2025-02-03T00:00:00"/>
    <d v="2025-02-04T00:00:00"/>
    <x v="2"/>
    <x v="0"/>
    <x v="0"/>
    <x v="0"/>
    <x v="11"/>
    <x v="3"/>
    <x v="5"/>
    <x v="2"/>
  </r>
  <r>
    <s v="TX500795"/>
    <x v="8"/>
    <x v="1"/>
    <n v="22.6"/>
    <n v="45.2"/>
    <d v="2025-02-03T00:00:00"/>
    <d v="2025-02-06T00:00:00"/>
    <x v="1"/>
    <x v="0"/>
    <x v="0"/>
    <x v="0"/>
    <x v="11"/>
    <x v="2"/>
    <x v="5"/>
    <x v="1"/>
  </r>
  <r>
    <s v="TX500796"/>
    <x v="2"/>
    <x v="16"/>
    <n v="66.8"/>
    <n v="1202.3999999999999"/>
    <d v="2025-02-03T00:00:00"/>
    <d v="2025-02-04T00:00:00"/>
    <x v="2"/>
    <x v="0"/>
    <x v="4"/>
    <x v="0"/>
    <x v="13"/>
    <x v="3"/>
    <x v="5"/>
    <x v="2"/>
  </r>
  <r>
    <s v="TX500797"/>
    <x v="0"/>
    <x v="12"/>
    <n v="20.8"/>
    <n v="83.2"/>
    <d v="2025-02-03T00:00:00"/>
    <d v="2025-02-10T00:00:00"/>
    <x v="1"/>
    <x v="1"/>
    <x v="4"/>
    <x v="0"/>
    <x v="1"/>
    <x v="6"/>
    <x v="5"/>
    <x v="1"/>
  </r>
  <r>
    <s v="TX500798"/>
    <x v="2"/>
    <x v="3"/>
    <n v="102.5"/>
    <n v="717.5"/>
    <d v="2025-02-03T00:00:00"/>
    <d v="2025-02-04T00:00:00"/>
    <x v="2"/>
    <x v="4"/>
    <x v="2"/>
    <x v="0"/>
    <x v="3"/>
    <x v="3"/>
    <x v="5"/>
    <x v="2"/>
  </r>
  <r>
    <s v="TX500799"/>
    <x v="0"/>
    <x v="16"/>
    <n v="24.8"/>
    <n v="446.40000000000003"/>
    <d v="2025-02-03T00:00:00"/>
    <d v="2025-02-07T00:00:00"/>
    <x v="2"/>
    <x v="0"/>
    <x v="0"/>
    <x v="0"/>
    <x v="3"/>
    <x v="5"/>
    <x v="5"/>
    <x v="2"/>
  </r>
  <r>
    <s v="TX500800"/>
    <x v="4"/>
    <x v="37"/>
    <n v="31.4"/>
    <n v="973.4"/>
    <d v="2025-02-03T00:00:00"/>
    <d v="2025-02-04T00:00:00"/>
    <x v="2"/>
    <x v="3"/>
    <x v="0"/>
    <x v="0"/>
    <x v="3"/>
    <x v="3"/>
    <x v="5"/>
    <x v="2"/>
  </r>
  <r>
    <s v="TX500801"/>
    <x v="9"/>
    <x v="9"/>
    <n v="59.3"/>
    <n v="296.5"/>
    <d v="2025-02-03T00:00:00"/>
    <d v="2025-02-06T00:00:00"/>
    <x v="1"/>
    <x v="1"/>
    <x v="2"/>
    <x v="0"/>
    <x v="43"/>
    <x v="2"/>
    <x v="5"/>
    <x v="1"/>
  </r>
  <r>
    <s v="TX500802"/>
    <x v="11"/>
    <x v="13"/>
    <n v="39"/>
    <n v="234"/>
    <d v="2025-02-03T00:00:00"/>
    <d v="2025-02-06T00:00:00"/>
    <x v="1"/>
    <x v="1"/>
    <x v="0"/>
    <x v="0"/>
    <x v="6"/>
    <x v="2"/>
    <x v="5"/>
    <x v="1"/>
  </r>
  <r>
    <s v="TX500803"/>
    <x v="5"/>
    <x v="13"/>
    <n v="98.6"/>
    <n v="591.59999999999991"/>
    <d v="2025-02-03T00:00:00"/>
    <d v="2025-02-05T00:00:00"/>
    <x v="2"/>
    <x v="1"/>
    <x v="0"/>
    <x v="0"/>
    <x v="6"/>
    <x v="1"/>
    <x v="5"/>
    <x v="2"/>
  </r>
  <r>
    <s v="TX500804"/>
    <x v="8"/>
    <x v="0"/>
    <n v="20"/>
    <n v="20"/>
    <d v="2025-02-04T00:00:00"/>
    <d v="2025-02-05T00:00:00"/>
    <x v="1"/>
    <x v="3"/>
    <x v="2"/>
    <x v="0"/>
    <x v="8"/>
    <x v="3"/>
    <x v="5"/>
    <x v="1"/>
  </r>
  <r>
    <s v="TX500805"/>
    <x v="1"/>
    <x v="1"/>
    <n v="42.9"/>
    <n v="85.8"/>
    <d v="2025-02-04T00:00:00"/>
    <d v="2025-02-06T00:00:00"/>
    <x v="2"/>
    <x v="0"/>
    <x v="2"/>
    <x v="0"/>
    <x v="8"/>
    <x v="1"/>
    <x v="5"/>
    <x v="2"/>
  </r>
  <r>
    <s v="TX500806"/>
    <x v="7"/>
    <x v="3"/>
    <n v="55.6"/>
    <n v="389.2"/>
    <d v="2025-02-04T00:00:00"/>
    <d v="2025-02-06T00:00:00"/>
    <x v="2"/>
    <x v="2"/>
    <x v="1"/>
    <x v="0"/>
    <x v="8"/>
    <x v="1"/>
    <x v="5"/>
    <x v="2"/>
  </r>
  <r>
    <s v="TX500807"/>
    <x v="8"/>
    <x v="12"/>
    <n v="19.2"/>
    <n v="76.8"/>
    <d v="2025-02-04T00:00:00"/>
    <d v="2025-02-09T00:00:00"/>
    <x v="2"/>
    <x v="0"/>
    <x v="0"/>
    <x v="0"/>
    <x v="41"/>
    <x v="0"/>
    <x v="5"/>
    <x v="2"/>
  </r>
  <r>
    <s v="TX500808"/>
    <x v="5"/>
    <x v="1"/>
    <n v="28.8"/>
    <n v="57.6"/>
    <d v="2025-02-04T00:00:00"/>
    <d v="2025-02-06T00:00:00"/>
    <x v="1"/>
    <x v="1"/>
    <x v="0"/>
    <x v="0"/>
    <x v="18"/>
    <x v="1"/>
    <x v="5"/>
    <x v="1"/>
  </r>
  <r>
    <s v="TX500809"/>
    <x v="4"/>
    <x v="0"/>
    <n v="29.7"/>
    <n v="29.7"/>
    <d v="2025-02-04T00:00:00"/>
    <d v="2025-02-06T00:00:00"/>
    <x v="2"/>
    <x v="2"/>
    <x v="4"/>
    <x v="0"/>
    <x v="20"/>
    <x v="1"/>
    <x v="5"/>
    <x v="2"/>
  </r>
  <r>
    <s v="TX500810"/>
    <x v="6"/>
    <x v="13"/>
    <n v="63.3"/>
    <n v="379.79999999999995"/>
    <d v="2025-02-04T00:00:00"/>
    <d v="2025-02-05T00:00:00"/>
    <x v="0"/>
    <x v="0"/>
    <x v="2"/>
    <x v="0"/>
    <x v="21"/>
    <x v="3"/>
    <x v="5"/>
    <x v="0"/>
  </r>
  <r>
    <s v="TX500811"/>
    <x v="4"/>
    <x v="0"/>
    <n v="46"/>
    <n v="46"/>
    <d v="2025-02-04T00:00:00"/>
    <d v="2025-02-05T00:00:00"/>
    <x v="2"/>
    <x v="0"/>
    <x v="2"/>
    <x v="0"/>
    <x v="21"/>
    <x v="3"/>
    <x v="5"/>
    <x v="2"/>
  </r>
  <r>
    <s v="TX500812"/>
    <x v="11"/>
    <x v="2"/>
    <n v="38"/>
    <n v="114"/>
    <d v="2025-02-04T00:00:00"/>
    <d v="2025-02-06T00:00:00"/>
    <x v="2"/>
    <x v="1"/>
    <x v="2"/>
    <x v="0"/>
    <x v="21"/>
    <x v="1"/>
    <x v="5"/>
    <x v="2"/>
  </r>
  <r>
    <s v="TX500813"/>
    <x v="10"/>
    <x v="15"/>
    <n v="34.6"/>
    <n v="449.8"/>
    <d v="2025-02-04T00:00:00"/>
    <d v="2025-02-06T00:00:00"/>
    <x v="2"/>
    <x v="0"/>
    <x v="1"/>
    <x v="0"/>
    <x v="21"/>
    <x v="1"/>
    <x v="5"/>
    <x v="2"/>
  </r>
  <r>
    <s v="TX500814"/>
    <x v="3"/>
    <x v="7"/>
    <n v="79.7"/>
    <n v="797"/>
    <d v="2025-02-04T00:00:00"/>
    <d v="2025-02-05T00:00:00"/>
    <x v="2"/>
    <x v="4"/>
    <x v="1"/>
    <x v="0"/>
    <x v="21"/>
    <x v="3"/>
    <x v="5"/>
    <x v="2"/>
  </r>
  <r>
    <s v="TX500815"/>
    <x v="8"/>
    <x v="8"/>
    <n v="30.5"/>
    <n v="244"/>
    <d v="2025-02-04T00:00:00"/>
    <d v="2025-02-08T00:00:00"/>
    <x v="1"/>
    <x v="3"/>
    <x v="0"/>
    <x v="0"/>
    <x v="1"/>
    <x v="5"/>
    <x v="5"/>
    <x v="1"/>
  </r>
  <r>
    <s v="TX500816"/>
    <x v="0"/>
    <x v="1"/>
    <n v="20.8"/>
    <n v="41.6"/>
    <d v="2025-02-04T00:00:00"/>
    <d v="2025-02-05T00:00:00"/>
    <x v="2"/>
    <x v="0"/>
    <x v="0"/>
    <x v="0"/>
    <x v="2"/>
    <x v="3"/>
    <x v="5"/>
    <x v="2"/>
  </r>
  <r>
    <s v="TX500817"/>
    <x v="11"/>
    <x v="3"/>
    <n v="48.5"/>
    <n v="339.5"/>
    <d v="2025-02-04T00:00:00"/>
    <d v="2025-02-08T00:00:00"/>
    <x v="2"/>
    <x v="2"/>
    <x v="2"/>
    <x v="0"/>
    <x v="2"/>
    <x v="5"/>
    <x v="5"/>
    <x v="2"/>
  </r>
  <r>
    <s v="TX500818"/>
    <x v="2"/>
    <x v="12"/>
    <n v="61.8"/>
    <n v="247.2"/>
    <d v="2025-02-04T00:00:00"/>
    <d v="2025-02-08T00:00:00"/>
    <x v="2"/>
    <x v="4"/>
    <x v="0"/>
    <x v="0"/>
    <x v="22"/>
    <x v="5"/>
    <x v="5"/>
    <x v="2"/>
  </r>
  <r>
    <s v="TX500819"/>
    <x v="10"/>
    <x v="0"/>
    <n v="46.1"/>
    <n v="46.1"/>
    <d v="2025-02-04T00:00:00"/>
    <d v="2025-02-05T00:00:00"/>
    <x v="3"/>
    <x v="2"/>
    <x v="0"/>
    <x v="0"/>
    <x v="3"/>
    <x v="3"/>
    <x v="5"/>
    <x v="3"/>
  </r>
  <r>
    <s v="TX500820"/>
    <x v="4"/>
    <x v="13"/>
    <n v="44"/>
    <n v="264"/>
    <d v="2025-02-04T00:00:00"/>
    <d v="2025-02-05T00:00:00"/>
    <x v="2"/>
    <x v="0"/>
    <x v="0"/>
    <x v="0"/>
    <x v="3"/>
    <x v="3"/>
    <x v="5"/>
    <x v="2"/>
  </r>
  <r>
    <s v="TX500821"/>
    <x v="18"/>
    <x v="1"/>
    <n v="95.7"/>
    <n v="191.4"/>
    <d v="2025-02-04T00:00:00"/>
    <d v="2025-02-10T00:00:00"/>
    <x v="2"/>
    <x v="3"/>
    <x v="2"/>
    <x v="0"/>
    <x v="3"/>
    <x v="4"/>
    <x v="5"/>
    <x v="2"/>
  </r>
  <r>
    <s v="TX500822"/>
    <x v="7"/>
    <x v="9"/>
    <n v="46.4"/>
    <n v="232"/>
    <d v="2025-02-04T00:00:00"/>
    <d v="2025-02-07T00:00:00"/>
    <x v="2"/>
    <x v="0"/>
    <x v="0"/>
    <x v="0"/>
    <x v="3"/>
    <x v="2"/>
    <x v="5"/>
    <x v="2"/>
  </r>
  <r>
    <s v="TX500823"/>
    <x v="6"/>
    <x v="1"/>
    <n v="47.2"/>
    <n v="94.4"/>
    <d v="2025-02-04T00:00:00"/>
    <d v="2025-02-06T00:00:00"/>
    <x v="2"/>
    <x v="0"/>
    <x v="2"/>
    <x v="0"/>
    <x v="3"/>
    <x v="1"/>
    <x v="5"/>
    <x v="2"/>
  </r>
  <r>
    <s v="TX500824"/>
    <x v="7"/>
    <x v="1"/>
    <n v="58.6"/>
    <n v="117.2"/>
    <d v="2025-02-04T00:00:00"/>
    <d v="2025-02-05T00:00:00"/>
    <x v="2"/>
    <x v="2"/>
    <x v="1"/>
    <x v="0"/>
    <x v="3"/>
    <x v="3"/>
    <x v="5"/>
    <x v="2"/>
  </r>
  <r>
    <s v="TX500825"/>
    <x v="4"/>
    <x v="2"/>
    <n v="57"/>
    <n v="171"/>
    <d v="2025-02-04T00:00:00"/>
    <d v="2025-02-05T00:00:00"/>
    <x v="1"/>
    <x v="0"/>
    <x v="2"/>
    <x v="0"/>
    <x v="3"/>
    <x v="3"/>
    <x v="5"/>
    <x v="1"/>
  </r>
  <r>
    <s v="TX500826"/>
    <x v="8"/>
    <x v="12"/>
    <n v="28.9"/>
    <n v="115.6"/>
    <d v="2025-02-04T00:00:00"/>
    <d v="2025-02-08T00:00:00"/>
    <x v="1"/>
    <x v="2"/>
    <x v="0"/>
    <x v="0"/>
    <x v="3"/>
    <x v="5"/>
    <x v="5"/>
    <x v="1"/>
  </r>
  <r>
    <s v="TX500827"/>
    <x v="12"/>
    <x v="9"/>
    <n v="60.7"/>
    <n v="303.5"/>
    <d v="2025-02-04T00:00:00"/>
    <d v="2025-02-08T00:00:00"/>
    <x v="0"/>
    <x v="1"/>
    <x v="1"/>
    <x v="0"/>
    <x v="3"/>
    <x v="5"/>
    <x v="5"/>
    <x v="0"/>
  </r>
  <r>
    <s v="TX500828"/>
    <x v="6"/>
    <x v="9"/>
    <n v="60.8"/>
    <n v="304"/>
    <d v="2025-02-04T00:00:00"/>
    <d v="2025-02-08T00:00:00"/>
    <x v="1"/>
    <x v="0"/>
    <x v="1"/>
    <x v="0"/>
    <x v="3"/>
    <x v="5"/>
    <x v="5"/>
    <x v="1"/>
  </r>
  <r>
    <s v="TX500829"/>
    <x v="6"/>
    <x v="9"/>
    <n v="64.599999999999994"/>
    <n v="323"/>
    <d v="2025-02-04T00:00:00"/>
    <d v="2025-02-05T00:00:00"/>
    <x v="2"/>
    <x v="3"/>
    <x v="0"/>
    <x v="0"/>
    <x v="3"/>
    <x v="3"/>
    <x v="5"/>
    <x v="2"/>
  </r>
  <r>
    <s v="TX500830"/>
    <x v="8"/>
    <x v="0"/>
    <n v="21.9"/>
    <n v="21.9"/>
    <d v="2025-02-04T00:00:00"/>
    <d v="2025-02-07T00:00:00"/>
    <x v="1"/>
    <x v="1"/>
    <x v="2"/>
    <x v="0"/>
    <x v="4"/>
    <x v="2"/>
    <x v="5"/>
    <x v="1"/>
  </r>
  <r>
    <s v="TX500831"/>
    <x v="4"/>
    <x v="4"/>
    <n v="33.4"/>
    <n v="400.79999999999995"/>
    <d v="2025-02-04T00:00:00"/>
    <d v="2025-02-06T00:00:00"/>
    <x v="2"/>
    <x v="0"/>
    <x v="0"/>
    <x v="0"/>
    <x v="23"/>
    <x v="1"/>
    <x v="5"/>
    <x v="2"/>
  </r>
  <r>
    <s v="TX500832"/>
    <x v="2"/>
    <x v="0"/>
    <n v="51.7"/>
    <n v="51.7"/>
    <d v="2025-02-04T00:00:00"/>
    <d v="2025-02-05T00:00:00"/>
    <x v="0"/>
    <x v="0"/>
    <x v="0"/>
    <x v="0"/>
    <x v="6"/>
    <x v="3"/>
    <x v="5"/>
    <x v="0"/>
  </r>
  <r>
    <s v="TX500833"/>
    <x v="1"/>
    <x v="12"/>
    <n v="84.9"/>
    <n v="339.6"/>
    <d v="2025-02-04T00:00:00"/>
    <d v="2025-02-05T00:00:00"/>
    <x v="2"/>
    <x v="1"/>
    <x v="1"/>
    <x v="0"/>
    <x v="6"/>
    <x v="3"/>
    <x v="5"/>
    <x v="2"/>
  </r>
  <r>
    <s v="TX500834"/>
    <x v="1"/>
    <x v="5"/>
    <n v="62.3"/>
    <n v="685.3"/>
    <d v="2025-02-04T00:00:00"/>
    <d v="2025-02-05T00:00:00"/>
    <x v="2"/>
    <x v="2"/>
    <x v="2"/>
    <x v="0"/>
    <x v="7"/>
    <x v="3"/>
    <x v="5"/>
    <x v="2"/>
  </r>
  <r>
    <s v="TX500835"/>
    <x v="4"/>
    <x v="0"/>
    <n v="50.7"/>
    <n v="50.7"/>
    <d v="2025-02-04T00:00:00"/>
    <d v="2025-02-06T00:00:00"/>
    <x v="1"/>
    <x v="2"/>
    <x v="2"/>
    <x v="0"/>
    <x v="8"/>
    <x v="1"/>
    <x v="5"/>
    <x v="1"/>
  </r>
  <r>
    <s v="TX500836"/>
    <x v="18"/>
    <x v="0"/>
    <n v="39.5"/>
    <n v="39.5"/>
    <d v="2025-02-04T00:00:00"/>
    <d v="2025-02-05T00:00:00"/>
    <x v="1"/>
    <x v="4"/>
    <x v="1"/>
    <x v="0"/>
    <x v="8"/>
    <x v="3"/>
    <x v="5"/>
    <x v="1"/>
  </r>
  <r>
    <s v="TX500837"/>
    <x v="12"/>
    <x v="2"/>
    <n v="30.9"/>
    <n v="92.699999999999989"/>
    <d v="2025-02-04T00:00:00"/>
    <d v="2025-02-05T00:00:00"/>
    <x v="0"/>
    <x v="4"/>
    <x v="2"/>
    <x v="0"/>
    <x v="8"/>
    <x v="3"/>
    <x v="5"/>
    <x v="0"/>
  </r>
  <r>
    <s v="TX500838"/>
    <x v="1"/>
    <x v="3"/>
    <n v="36.4"/>
    <n v="254.79999999999998"/>
    <d v="2025-02-04T00:00:00"/>
    <d v="2025-02-07T00:00:00"/>
    <x v="2"/>
    <x v="0"/>
    <x v="2"/>
    <x v="0"/>
    <x v="8"/>
    <x v="2"/>
    <x v="5"/>
    <x v="2"/>
  </r>
  <r>
    <s v="TX500839"/>
    <x v="6"/>
    <x v="8"/>
    <n v="105.6"/>
    <n v="844.8"/>
    <d v="2025-02-04T00:00:00"/>
    <d v="2025-02-14T00:00:00"/>
    <x v="2"/>
    <x v="0"/>
    <x v="0"/>
    <x v="0"/>
    <x v="8"/>
    <x v="14"/>
    <x v="5"/>
    <x v="2"/>
  </r>
  <r>
    <s v="TX500840"/>
    <x v="8"/>
    <x v="1"/>
    <n v="22.1"/>
    <n v="44.2"/>
    <d v="2025-02-04T00:00:00"/>
    <d v="2025-02-05T00:00:00"/>
    <x v="2"/>
    <x v="0"/>
    <x v="2"/>
    <x v="0"/>
    <x v="17"/>
    <x v="3"/>
    <x v="5"/>
    <x v="2"/>
  </r>
  <r>
    <s v="TX500841"/>
    <x v="0"/>
    <x v="2"/>
    <n v="22.6"/>
    <n v="67.800000000000011"/>
    <d v="2025-02-04T00:00:00"/>
    <d v="2025-02-05T00:00:00"/>
    <x v="2"/>
    <x v="2"/>
    <x v="0"/>
    <x v="0"/>
    <x v="17"/>
    <x v="3"/>
    <x v="5"/>
    <x v="2"/>
  </r>
  <r>
    <s v="TX500842"/>
    <x v="10"/>
    <x v="13"/>
    <n v="26.3"/>
    <n v="157.80000000000001"/>
    <d v="2025-02-04T00:00:00"/>
    <d v="2025-02-04T00:00:00"/>
    <x v="2"/>
    <x v="2"/>
    <x v="0"/>
    <x v="0"/>
    <x v="9"/>
    <x v="7"/>
    <x v="5"/>
    <x v="2"/>
  </r>
  <r>
    <s v="TX500843"/>
    <x v="1"/>
    <x v="12"/>
    <n v="37.799999999999997"/>
    <n v="151.19999999999999"/>
    <d v="2025-02-04T00:00:00"/>
    <d v="2025-02-05T00:00:00"/>
    <x v="2"/>
    <x v="0"/>
    <x v="2"/>
    <x v="0"/>
    <x v="11"/>
    <x v="3"/>
    <x v="5"/>
    <x v="2"/>
  </r>
  <r>
    <s v="TX500844"/>
    <x v="6"/>
    <x v="14"/>
    <n v="96"/>
    <n v="1632"/>
    <d v="2025-02-04T00:00:00"/>
    <d v="2025-02-07T00:00:00"/>
    <x v="2"/>
    <x v="4"/>
    <x v="1"/>
    <x v="0"/>
    <x v="18"/>
    <x v="2"/>
    <x v="5"/>
    <x v="2"/>
  </r>
  <r>
    <s v="TX500845"/>
    <x v="1"/>
    <x v="0"/>
    <n v="83.6"/>
    <n v="83.6"/>
    <d v="2025-02-04T00:00:00"/>
    <d v="2025-02-07T00:00:00"/>
    <x v="2"/>
    <x v="2"/>
    <x v="1"/>
    <x v="0"/>
    <x v="19"/>
    <x v="2"/>
    <x v="5"/>
    <x v="2"/>
  </r>
  <r>
    <s v="TX500846"/>
    <x v="2"/>
    <x v="13"/>
    <n v="72.599999999999994"/>
    <n v="435.59999999999997"/>
    <d v="2025-02-04T00:00:00"/>
    <d v="2025-02-05T00:00:00"/>
    <x v="2"/>
    <x v="0"/>
    <x v="0"/>
    <x v="0"/>
    <x v="21"/>
    <x v="3"/>
    <x v="5"/>
    <x v="2"/>
  </r>
  <r>
    <s v="TX500847"/>
    <x v="5"/>
    <x v="28"/>
    <n v="69.099999999999994"/>
    <n v="1382"/>
    <d v="2025-02-05T00:00:00"/>
    <d v="2025-02-11T00:00:00"/>
    <x v="1"/>
    <x v="0"/>
    <x v="2"/>
    <x v="0"/>
    <x v="21"/>
    <x v="4"/>
    <x v="5"/>
    <x v="1"/>
  </r>
  <r>
    <s v="TX500848"/>
    <x v="4"/>
    <x v="1"/>
    <n v="22.6"/>
    <n v="45.2"/>
    <d v="2025-02-05T00:00:00"/>
    <d v="2025-02-07T00:00:00"/>
    <x v="2"/>
    <x v="1"/>
    <x v="2"/>
    <x v="0"/>
    <x v="21"/>
    <x v="1"/>
    <x v="5"/>
    <x v="2"/>
  </r>
  <r>
    <s v="TX500849"/>
    <x v="6"/>
    <x v="1"/>
    <n v="45.3"/>
    <n v="90.6"/>
    <d v="2025-02-05T00:00:00"/>
    <d v="2025-02-09T00:00:00"/>
    <x v="1"/>
    <x v="4"/>
    <x v="2"/>
    <x v="0"/>
    <x v="21"/>
    <x v="5"/>
    <x v="5"/>
    <x v="1"/>
  </r>
  <r>
    <s v="TX500850"/>
    <x v="2"/>
    <x v="1"/>
    <n v="115.1"/>
    <n v="230.2"/>
    <d v="2025-02-05T00:00:00"/>
    <d v="2025-02-06T00:00:00"/>
    <x v="2"/>
    <x v="1"/>
    <x v="0"/>
    <x v="0"/>
    <x v="1"/>
    <x v="3"/>
    <x v="5"/>
    <x v="2"/>
  </r>
  <r>
    <s v="TX500851"/>
    <x v="18"/>
    <x v="12"/>
    <n v="79"/>
    <n v="316"/>
    <d v="2025-02-05T00:00:00"/>
    <d v="2025-02-07T00:00:00"/>
    <x v="1"/>
    <x v="2"/>
    <x v="4"/>
    <x v="0"/>
    <x v="1"/>
    <x v="1"/>
    <x v="5"/>
    <x v="1"/>
  </r>
  <r>
    <s v="TX500852"/>
    <x v="6"/>
    <x v="9"/>
    <n v="52.8"/>
    <n v="264"/>
    <d v="2025-02-05T00:00:00"/>
    <d v="2025-02-06T00:00:00"/>
    <x v="2"/>
    <x v="0"/>
    <x v="0"/>
    <x v="0"/>
    <x v="42"/>
    <x v="3"/>
    <x v="5"/>
    <x v="2"/>
  </r>
  <r>
    <s v="TX500853"/>
    <x v="8"/>
    <x v="1"/>
    <n v="34.1"/>
    <n v="68.2"/>
    <d v="2025-02-05T00:00:00"/>
    <d v="2025-02-06T00:00:00"/>
    <x v="1"/>
    <x v="3"/>
    <x v="2"/>
    <x v="0"/>
    <x v="44"/>
    <x v="3"/>
    <x v="5"/>
    <x v="1"/>
  </r>
  <r>
    <s v="TX500854"/>
    <x v="6"/>
    <x v="9"/>
    <n v="107.9"/>
    <n v="539.5"/>
    <d v="2025-02-05T00:00:00"/>
    <d v="2025-02-05T00:00:00"/>
    <x v="2"/>
    <x v="0"/>
    <x v="2"/>
    <x v="0"/>
    <x v="50"/>
    <x v="7"/>
    <x v="5"/>
    <x v="2"/>
  </r>
  <r>
    <s v="TX500855"/>
    <x v="8"/>
    <x v="15"/>
    <n v="48.5"/>
    <n v="630.5"/>
    <d v="2025-02-05T00:00:00"/>
    <d v="2025-02-05T00:00:00"/>
    <x v="1"/>
    <x v="2"/>
    <x v="2"/>
    <x v="0"/>
    <x v="3"/>
    <x v="7"/>
    <x v="5"/>
    <x v="1"/>
  </r>
  <r>
    <s v="TX500856"/>
    <x v="5"/>
    <x v="2"/>
    <n v="34.700000000000003"/>
    <n v="104.10000000000001"/>
    <d v="2025-02-05T00:00:00"/>
    <d v="2025-02-06T00:00:00"/>
    <x v="0"/>
    <x v="4"/>
    <x v="1"/>
    <x v="0"/>
    <x v="3"/>
    <x v="3"/>
    <x v="5"/>
    <x v="0"/>
  </r>
  <r>
    <s v="TX500857"/>
    <x v="8"/>
    <x v="0"/>
    <n v="16.8"/>
    <n v="16.8"/>
    <d v="2025-02-05T00:00:00"/>
    <d v="2025-02-07T00:00:00"/>
    <x v="2"/>
    <x v="3"/>
    <x v="0"/>
    <x v="0"/>
    <x v="3"/>
    <x v="1"/>
    <x v="5"/>
    <x v="2"/>
  </r>
  <r>
    <s v="TX500858"/>
    <x v="8"/>
    <x v="13"/>
    <n v="18.3"/>
    <n v="109.80000000000001"/>
    <d v="2025-02-05T00:00:00"/>
    <d v="2025-02-08T00:00:00"/>
    <x v="2"/>
    <x v="0"/>
    <x v="0"/>
    <x v="0"/>
    <x v="3"/>
    <x v="2"/>
    <x v="5"/>
    <x v="2"/>
  </r>
  <r>
    <s v="TX500859"/>
    <x v="18"/>
    <x v="2"/>
    <n v="55.9"/>
    <n v="167.7"/>
    <d v="2025-02-05T00:00:00"/>
    <d v="2025-02-11T00:00:00"/>
    <x v="1"/>
    <x v="3"/>
    <x v="1"/>
    <x v="0"/>
    <x v="3"/>
    <x v="4"/>
    <x v="5"/>
    <x v="1"/>
  </r>
  <r>
    <s v="TX500860"/>
    <x v="8"/>
    <x v="2"/>
    <n v="39.200000000000003"/>
    <n v="117.60000000000001"/>
    <d v="2025-02-05T00:00:00"/>
    <d v="2025-02-07T00:00:00"/>
    <x v="2"/>
    <x v="0"/>
    <x v="1"/>
    <x v="0"/>
    <x v="3"/>
    <x v="1"/>
    <x v="5"/>
    <x v="2"/>
  </r>
  <r>
    <s v="TX500861"/>
    <x v="15"/>
    <x v="12"/>
    <n v="66.5"/>
    <n v="266"/>
    <d v="2025-02-05T00:00:00"/>
    <d v="2025-02-07T00:00:00"/>
    <x v="0"/>
    <x v="3"/>
    <x v="1"/>
    <x v="0"/>
    <x v="3"/>
    <x v="1"/>
    <x v="5"/>
    <x v="0"/>
  </r>
  <r>
    <s v="TX500862"/>
    <x v="6"/>
    <x v="13"/>
    <n v="52.1"/>
    <n v="312.60000000000002"/>
    <d v="2025-02-05T00:00:00"/>
    <d v="2025-02-07T00:00:00"/>
    <x v="1"/>
    <x v="1"/>
    <x v="1"/>
    <x v="0"/>
    <x v="16"/>
    <x v="1"/>
    <x v="5"/>
    <x v="1"/>
  </r>
  <r>
    <s v="TX500863"/>
    <x v="8"/>
    <x v="1"/>
    <n v="19"/>
    <n v="38"/>
    <d v="2025-02-05T00:00:00"/>
    <d v="2025-02-06T00:00:00"/>
    <x v="1"/>
    <x v="4"/>
    <x v="2"/>
    <x v="0"/>
    <x v="6"/>
    <x v="3"/>
    <x v="5"/>
    <x v="1"/>
  </r>
  <r>
    <s v="TX500864"/>
    <x v="7"/>
    <x v="2"/>
    <n v="84.8"/>
    <n v="254.39999999999998"/>
    <d v="2025-02-05T00:00:00"/>
    <d v="2025-02-07T00:00:00"/>
    <x v="2"/>
    <x v="2"/>
    <x v="0"/>
    <x v="0"/>
    <x v="8"/>
    <x v="1"/>
    <x v="5"/>
    <x v="2"/>
  </r>
  <r>
    <s v="TX500865"/>
    <x v="2"/>
    <x v="12"/>
    <n v="63.9"/>
    <n v="255.6"/>
    <d v="2025-02-05T00:00:00"/>
    <d v="2025-02-08T00:00:00"/>
    <x v="2"/>
    <x v="0"/>
    <x v="0"/>
    <x v="0"/>
    <x v="8"/>
    <x v="2"/>
    <x v="5"/>
    <x v="2"/>
  </r>
  <r>
    <s v="TX500866"/>
    <x v="2"/>
    <x v="2"/>
    <n v="65.5"/>
    <n v="196.5"/>
    <d v="2025-02-05T00:00:00"/>
    <d v="2025-02-05T00:00:00"/>
    <x v="2"/>
    <x v="1"/>
    <x v="1"/>
    <x v="0"/>
    <x v="8"/>
    <x v="7"/>
    <x v="5"/>
    <x v="2"/>
  </r>
  <r>
    <s v="TX500867"/>
    <x v="12"/>
    <x v="1"/>
    <n v="116.2"/>
    <n v="232.4"/>
    <d v="2025-02-05T00:00:00"/>
    <d v="2025-02-11T00:00:00"/>
    <x v="1"/>
    <x v="3"/>
    <x v="0"/>
    <x v="0"/>
    <x v="17"/>
    <x v="4"/>
    <x v="5"/>
    <x v="1"/>
  </r>
  <r>
    <s v="TX500868"/>
    <x v="10"/>
    <x v="12"/>
    <n v="22.9"/>
    <n v="91.6"/>
    <d v="2025-02-05T00:00:00"/>
    <d v="2025-02-07T00:00:00"/>
    <x v="2"/>
    <x v="2"/>
    <x v="1"/>
    <x v="0"/>
    <x v="38"/>
    <x v="1"/>
    <x v="5"/>
    <x v="2"/>
  </r>
  <r>
    <s v="TX500869"/>
    <x v="10"/>
    <x v="2"/>
    <n v="53.7"/>
    <n v="161.10000000000002"/>
    <d v="2025-02-05T00:00:00"/>
    <d v="2025-02-06T00:00:00"/>
    <x v="1"/>
    <x v="0"/>
    <x v="4"/>
    <x v="0"/>
    <x v="18"/>
    <x v="3"/>
    <x v="5"/>
    <x v="1"/>
  </r>
  <r>
    <s v="TX500870"/>
    <x v="6"/>
    <x v="9"/>
    <n v="43.2"/>
    <n v="216"/>
    <d v="2025-02-05T00:00:00"/>
    <d v="2025-02-07T00:00:00"/>
    <x v="2"/>
    <x v="0"/>
    <x v="0"/>
    <x v="0"/>
    <x v="19"/>
    <x v="1"/>
    <x v="5"/>
    <x v="2"/>
  </r>
  <r>
    <s v="TX500871"/>
    <x v="1"/>
    <x v="2"/>
    <n v="84.5"/>
    <n v="253.5"/>
    <d v="2025-02-05T00:00:00"/>
    <d v="2025-02-07T00:00:00"/>
    <x v="1"/>
    <x v="2"/>
    <x v="2"/>
    <x v="0"/>
    <x v="51"/>
    <x v="1"/>
    <x v="5"/>
    <x v="1"/>
  </r>
  <r>
    <s v="TX500872"/>
    <x v="3"/>
    <x v="1"/>
    <n v="42.2"/>
    <n v="84.4"/>
    <d v="2025-02-05T00:00:00"/>
    <d v="2025-02-06T00:00:00"/>
    <x v="2"/>
    <x v="1"/>
    <x v="2"/>
    <x v="0"/>
    <x v="1"/>
    <x v="3"/>
    <x v="5"/>
    <x v="2"/>
  </r>
  <r>
    <s v="TX500873"/>
    <x v="2"/>
    <x v="13"/>
    <n v="94.7"/>
    <n v="568.20000000000005"/>
    <d v="2025-02-05T00:00:00"/>
    <d v="2025-02-08T00:00:00"/>
    <x v="2"/>
    <x v="1"/>
    <x v="2"/>
    <x v="0"/>
    <x v="2"/>
    <x v="2"/>
    <x v="5"/>
    <x v="2"/>
  </r>
  <r>
    <s v="TX500874"/>
    <x v="8"/>
    <x v="16"/>
    <n v="16.7"/>
    <n v="300.59999999999997"/>
    <d v="2025-02-05T00:00:00"/>
    <d v="2025-02-17T00:00:00"/>
    <x v="2"/>
    <x v="0"/>
    <x v="2"/>
    <x v="0"/>
    <x v="2"/>
    <x v="13"/>
    <x v="5"/>
    <x v="2"/>
  </r>
  <r>
    <s v="TX500875"/>
    <x v="2"/>
    <x v="1"/>
    <n v="83.6"/>
    <n v="167.2"/>
    <d v="2025-02-05T00:00:00"/>
    <d v="2025-02-11T00:00:00"/>
    <x v="2"/>
    <x v="1"/>
    <x v="0"/>
    <x v="0"/>
    <x v="3"/>
    <x v="4"/>
    <x v="5"/>
    <x v="2"/>
  </r>
  <r>
    <s v="TX500876"/>
    <x v="7"/>
    <x v="13"/>
    <n v="33.6"/>
    <n v="201.60000000000002"/>
    <d v="2025-02-06T00:00:00"/>
    <d v="2025-02-07T00:00:00"/>
    <x v="2"/>
    <x v="3"/>
    <x v="0"/>
    <x v="0"/>
    <x v="3"/>
    <x v="3"/>
    <x v="5"/>
    <x v="2"/>
  </r>
  <r>
    <s v="TX500877"/>
    <x v="7"/>
    <x v="1"/>
    <n v="64.7"/>
    <n v="129.4"/>
    <d v="2025-02-06T00:00:00"/>
    <d v="2025-02-08T00:00:00"/>
    <x v="1"/>
    <x v="1"/>
    <x v="2"/>
    <x v="0"/>
    <x v="3"/>
    <x v="1"/>
    <x v="5"/>
    <x v="1"/>
  </r>
  <r>
    <s v="TX500878"/>
    <x v="0"/>
    <x v="2"/>
    <n v="15.7"/>
    <n v="47.099999999999994"/>
    <d v="2025-02-06T00:00:00"/>
    <d v="2025-02-12T00:00:00"/>
    <x v="2"/>
    <x v="0"/>
    <x v="0"/>
    <x v="0"/>
    <x v="3"/>
    <x v="4"/>
    <x v="5"/>
    <x v="2"/>
  </r>
  <r>
    <s v="TX500879"/>
    <x v="15"/>
    <x v="13"/>
    <n v="49.4"/>
    <n v="296.39999999999998"/>
    <d v="2025-02-06T00:00:00"/>
    <d v="2025-02-06T00:00:00"/>
    <x v="1"/>
    <x v="1"/>
    <x v="0"/>
    <x v="0"/>
    <x v="3"/>
    <x v="7"/>
    <x v="5"/>
    <x v="1"/>
  </r>
  <r>
    <s v="TX500880"/>
    <x v="10"/>
    <x v="13"/>
    <n v="37"/>
    <n v="222"/>
    <d v="2025-02-06T00:00:00"/>
    <d v="2025-02-09T00:00:00"/>
    <x v="2"/>
    <x v="1"/>
    <x v="2"/>
    <x v="0"/>
    <x v="3"/>
    <x v="2"/>
    <x v="5"/>
    <x v="2"/>
  </r>
  <r>
    <s v="TX500881"/>
    <x v="2"/>
    <x v="1"/>
    <n v="83.7"/>
    <n v="167.4"/>
    <d v="2025-02-06T00:00:00"/>
    <d v="2025-02-08T00:00:00"/>
    <x v="2"/>
    <x v="3"/>
    <x v="2"/>
    <x v="0"/>
    <x v="3"/>
    <x v="1"/>
    <x v="5"/>
    <x v="2"/>
  </r>
  <r>
    <s v="TX500882"/>
    <x v="1"/>
    <x v="9"/>
    <n v="35.1"/>
    <n v="175.5"/>
    <d v="2025-02-06T00:00:00"/>
    <d v="2025-02-07T00:00:00"/>
    <x v="2"/>
    <x v="0"/>
    <x v="0"/>
    <x v="0"/>
    <x v="3"/>
    <x v="3"/>
    <x v="5"/>
    <x v="2"/>
  </r>
  <r>
    <s v="TX500883"/>
    <x v="16"/>
    <x v="8"/>
    <n v="74"/>
    <n v="592"/>
    <d v="2025-02-06T00:00:00"/>
    <d v="2025-02-07T00:00:00"/>
    <x v="2"/>
    <x v="4"/>
    <x v="0"/>
    <x v="0"/>
    <x v="37"/>
    <x v="3"/>
    <x v="5"/>
    <x v="2"/>
  </r>
  <r>
    <s v="TX500884"/>
    <x v="6"/>
    <x v="25"/>
    <n v="55.5"/>
    <n v="1332"/>
    <d v="2025-02-06T00:00:00"/>
    <d v="2025-02-09T00:00:00"/>
    <x v="1"/>
    <x v="3"/>
    <x v="0"/>
    <x v="0"/>
    <x v="49"/>
    <x v="2"/>
    <x v="5"/>
    <x v="1"/>
  </r>
  <r>
    <s v="TX500885"/>
    <x v="11"/>
    <x v="1"/>
    <n v="38.9"/>
    <n v="77.8"/>
    <d v="2025-02-06T00:00:00"/>
    <d v="2025-02-08T00:00:00"/>
    <x v="2"/>
    <x v="1"/>
    <x v="2"/>
    <x v="0"/>
    <x v="25"/>
    <x v="1"/>
    <x v="5"/>
    <x v="2"/>
  </r>
  <r>
    <s v="TX500886"/>
    <x v="16"/>
    <x v="1"/>
    <n v="64.599999999999994"/>
    <n v="129.19999999999999"/>
    <d v="2025-02-06T00:00:00"/>
    <d v="2025-02-13T00:00:00"/>
    <x v="1"/>
    <x v="2"/>
    <x v="1"/>
    <x v="0"/>
    <x v="25"/>
    <x v="6"/>
    <x v="5"/>
    <x v="1"/>
  </r>
  <r>
    <s v="TX500887"/>
    <x v="2"/>
    <x v="2"/>
    <n v="95.3"/>
    <n v="285.89999999999998"/>
    <d v="2025-02-06T00:00:00"/>
    <d v="2025-02-07T00:00:00"/>
    <x v="1"/>
    <x v="0"/>
    <x v="0"/>
    <x v="0"/>
    <x v="5"/>
    <x v="3"/>
    <x v="5"/>
    <x v="1"/>
  </r>
  <r>
    <s v="TX500888"/>
    <x v="13"/>
    <x v="2"/>
    <n v="25.8"/>
    <n v="77.400000000000006"/>
    <d v="2025-02-06T00:00:00"/>
    <d v="2025-02-07T00:00:00"/>
    <x v="2"/>
    <x v="1"/>
    <x v="1"/>
    <x v="0"/>
    <x v="6"/>
    <x v="3"/>
    <x v="5"/>
    <x v="2"/>
  </r>
  <r>
    <s v="TX500889"/>
    <x v="0"/>
    <x v="1"/>
    <n v="11.6"/>
    <n v="23.2"/>
    <d v="2025-02-06T00:00:00"/>
    <d v="2025-02-10T00:00:00"/>
    <x v="2"/>
    <x v="1"/>
    <x v="1"/>
    <x v="0"/>
    <x v="6"/>
    <x v="5"/>
    <x v="5"/>
    <x v="2"/>
  </r>
  <r>
    <s v="TX500890"/>
    <x v="7"/>
    <x v="0"/>
    <n v="52.3"/>
    <n v="52.3"/>
    <d v="2025-02-06T00:00:00"/>
    <d v="2025-02-07T00:00:00"/>
    <x v="2"/>
    <x v="1"/>
    <x v="0"/>
    <x v="0"/>
    <x v="8"/>
    <x v="3"/>
    <x v="5"/>
    <x v="2"/>
  </r>
  <r>
    <s v="TX500891"/>
    <x v="2"/>
    <x v="7"/>
    <n v="112.2"/>
    <n v="1122"/>
    <d v="2025-02-06T00:00:00"/>
    <d v="2025-02-07T00:00:00"/>
    <x v="2"/>
    <x v="1"/>
    <x v="1"/>
    <x v="0"/>
    <x v="8"/>
    <x v="3"/>
    <x v="5"/>
    <x v="2"/>
  </r>
  <r>
    <s v="TX500892"/>
    <x v="4"/>
    <x v="9"/>
    <n v="34.6"/>
    <n v="173"/>
    <d v="2025-02-06T00:00:00"/>
    <d v="2025-02-08T00:00:00"/>
    <x v="1"/>
    <x v="2"/>
    <x v="0"/>
    <x v="0"/>
    <x v="8"/>
    <x v="1"/>
    <x v="5"/>
    <x v="1"/>
  </r>
  <r>
    <s v="TX500893"/>
    <x v="14"/>
    <x v="12"/>
    <n v="20.100000000000001"/>
    <n v="80.400000000000006"/>
    <d v="2025-02-06T00:00:00"/>
    <d v="2025-02-12T00:00:00"/>
    <x v="1"/>
    <x v="1"/>
    <x v="2"/>
    <x v="0"/>
    <x v="8"/>
    <x v="4"/>
    <x v="5"/>
    <x v="1"/>
  </r>
  <r>
    <s v="TX500894"/>
    <x v="2"/>
    <x v="12"/>
    <n v="56.4"/>
    <n v="225.6"/>
    <d v="2025-02-06T00:00:00"/>
    <d v="2025-02-08T00:00:00"/>
    <x v="2"/>
    <x v="2"/>
    <x v="0"/>
    <x v="0"/>
    <x v="10"/>
    <x v="1"/>
    <x v="5"/>
    <x v="2"/>
  </r>
  <r>
    <s v="TX500895"/>
    <x v="13"/>
    <x v="11"/>
    <n v="55.3"/>
    <n v="497.7"/>
    <d v="2025-02-06T00:00:00"/>
    <d v="2025-02-08T00:00:00"/>
    <x v="2"/>
    <x v="1"/>
    <x v="4"/>
    <x v="0"/>
    <x v="11"/>
    <x v="1"/>
    <x v="5"/>
    <x v="2"/>
  </r>
  <r>
    <s v="TX500896"/>
    <x v="2"/>
    <x v="31"/>
    <n v="75.5"/>
    <n v="2114"/>
    <d v="2025-02-06T00:00:00"/>
    <d v="2025-02-07T00:00:00"/>
    <x v="2"/>
    <x v="0"/>
    <x v="0"/>
    <x v="0"/>
    <x v="11"/>
    <x v="3"/>
    <x v="5"/>
    <x v="2"/>
  </r>
  <r>
    <s v="TX500897"/>
    <x v="8"/>
    <x v="0"/>
    <n v="23.6"/>
    <n v="23.6"/>
    <d v="2025-02-06T00:00:00"/>
    <d v="2025-02-11T00:00:00"/>
    <x v="2"/>
    <x v="0"/>
    <x v="0"/>
    <x v="0"/>
    <x v="19"/>
    <x v="0"/>
    <x v="5"/>
    <x v="2"/>
  </r>
  <r>
    <s v="TX500898"/>
    <x v="9"/>
    <x v="1"/>
    <n v="70.7"/>
    <n v="141.4"/>
    <d v="2025-02-06T00:00:00"/>
    <d v="2025-02-08T00:00:00"/>
    <x v="2"/>
    <x v="2"/>
    <x v="0"/>
    <x v="0"/>
    <x v="19"/>
    <x v="1"/>
    <x v="5"/>
    <x v="2"/>
  </r>
  <r>
    <s v="TX500899"/>
    <x v="12"/>
    <x v="1"/>
    <n v="43.2"/>
    <n v="86.4"/>
    <d v="2025-02-06T00:00:00"/>
    <d v="2025-02-07T00:00:00"/>
    <x v="2"/>
    <x v="2"/>
    <x v="0"/>
    <x v="0"/>
    <x v="31"/>
    <x v="3"/>
    <x v="5"/>
    <x v="2"/>
  </r>
  <r>
    <s v="TX500900"/>
    <x v="9"/>
    <x v="11"/>
    <n v="70"/>
    <n v="630"/>
    <d v="2025-02-06T00:00:00"/>
    <d v="2025-02-07T00:00:00"/>
    <x v="0"/>
    <x v="1"/>
    <x v="0"/>
    <x v="0"/>
    <x v="52"/>
    <x v="3"/>
    <x v="5"/>
    <x v="0"/>
  </r>
  <r>
    <s v="TX500901"/>
    <x v="0"/>
    <x v="1"/>
    <n v="20.5"/>
    <n v="41"/>
    <d v="2025-02-06T00:00:00"/>
    <d v="2025-02-08T00:00:00"/>
    <x v="2"/>
    <x v="2"/>
    <x v="4"/>
    <x v="0"/>
    <x v="13"/>
    <x v="1"/>
    <x v="5"/>
    <x v="2"/>
  </r>
  <r>
    <s v="TX500902"/>
    <x v="0"/>
    <x v="12"/>
    <n v="29.1"/>
    <n v="116.4"/>
    <d v="2025-02-06T00:00:00"/>
    <d v="2025-02-07T00:00:00"/>
    <x v="2"/>
    <x v="3"/>
    <x v="0"/>
    <x v="0"/>
    <x v="28"/>
    <x v="3"/>
    <x v="5"/>
    <x v="2"/>
  </r>
  <r>
    <s v="TX500903"/>
    <x v="6"/>
    <x v="11"/>
    <n v="53.6"/>
    <n v="482.40000000000003"/>
    <d v="2025-02-06T00:00:00"/>
    <d v="2025-02-07T00:00:00"/>
    <x v="1"/>
    <x v="2"/>
    <x v="1"/>
    <x v="0"/>
    <x v="3"/>
    <x v="3"/>
    <x v="5"/>
    <x v="1"/>
  </r>
  <r>
    <s v="TX500904"/>
    <x v="6"/>
    <x v="9"/>
    <n v="72.3"/>
    <n v="361.5"/>
    <d v="2025-02-06T00:00:00"/>
    <d v="2025-02-08T00:00:00"/>
    <x v="2"/>
    <x v="1"/>
    <x v="0"/>
    <x v="0"/>
    <x v="3"/>
    <x v="1"/>
    <x v="5"/>
    <x v="2"/>
  </r>
  <r>
    <s v="TX500905"/>
    <x v="13"/>
    <x v="12"/>
    <n v="22.6"/>
    <n v="90.4"/>
    <d v="2025-02-06T00:00:00"/>
    <d v="2025-02-09T00:00:00"/>
    <x v="3"/>
    <x v="0"/>
    <x v="1"/>
    <x v="0"/>
    <x v="3"/>
    <x v="2"/>
    <x v="5"/>
    <x v="3"/>
  </r>
  <r>
    <s v="TX500906"/>
    <x v="9"/>
    <x v="1"/>
    <n v="44.2"/>
    <n v="88.4"/>
    <d v="2025-02-06T00:00:00"/>
    <d v="2025-02-10T00:00:00"/>
    <x v="0"/>
    <x v="2"/>
    <x v="4"/>
    <x v="0"/>
    <x v="3"/>
    <x v="5"/>
    <x v="5"/>
    <x v="0"/>
  </r>
  <r>
    <s v="TX500907"/>
    <x v="9"/>
    <x v="2"/>
    <n v="94.1"/>
    <n v="282.29999999999995"/>
    <d v="2025-02-06T00:00:00"/>
    <d v="2025-02-19T00:00:00"/>
    <x v="2"/>
    <x v="2"/>
    <x v="2"/>
    <x v="0"/>
    <x v="3"/>
    <x v="10"/>
    <x v="5"/>
    <x v="2"/>
  </r>
  <r>
    <s v="TX500908"/>
    <x v="8"/>
    <x v="2"/>
    <n v="17.899999999999999"/>
    <n v="53.699999999999996"/>
    <d v="2025-02-06T00:00:00"/>
    <d v="2025-02-08T00:00:00"/>
    <x v="1"/>
    <x v="1"/>
    <x v="1"/>
    <x v="0"/>
    <x v="3"/>
    <x v="1"/>
    <x v="5"/>
    <x v="1"/>
  </r>
  <r>
    <s v="TX500909"/>
    <x v="12"/>
    <x v="3"/>
    <n v="52.7"/>
    <n v="368.90000000000003"/>
    <d v="2025-02-06T00:00:00"/>
    <d v="2025-02-07T00:00:00"/>
    <x v="1"/>
    <x v="1"/>
    <x v="1"/>
    <x v="0"/>
    <x v="3"/>
    <x v="3"/>
    <x v="5"/>
    <x v="1"/>
  </r>
  <r>
    <s v="TX500910"/>
    <x v="8"/>
    <x v="0"/>
    <n v="36.799999999999997"/>
    <n v="36.799999999999997"/>
    <d v="2025-02-06T00:00:00"/>
    <d v="2025-02-06T00:00:00"/>
    <x v="0"/>
    <x v="0"/>
    <x v="2"/>
    <x v="0"/>
    <x v="3"/>
    <x v="7"/>
    <x v="5"/>
    <x v="0"/>
  </r>
  <r>
    <s v="TX500911"/>
    <x v="4"/>
    <x v="0"/>
    <n v="52.5"/>
    <n v="52.5"/>
    <d v="2025-02-06T00:00:00"/>
    <d v="2025-02-07T00:00:00"/>
    <x v="1"/>
    <x v="0"/>
    <x v="1"/>
    <x v="0"/>
    <x v="6"/>
    <x v="3"/>
    <x v="5"/>
    <x v="1"/>
  </r>
  <r>
    <s v="TX500912"/>
    <x v="2"/>
    <x v="1"/>
    <n v="133.80000000000001"/>
    <n v="267.60000000000002"/>
    <d v="2025-02-06T00:00:00"/>
    <d v="2025-02-08T00:00:00"/>
    <x v="1"/>
    <x v="0"/>
    <x v="1"/>
    <x v="0"/>
    <x v="7"/>
    <x v="1"/>
    <x v="5"/>
    <x v="1"/>
  </r>
  <r>
    <s v="TX500913"/>
    <x v="6"/>
    <x v="1"/>
    <n v="53.2"/>
    <n v="106.4"/>
    <d v="2025-02-06T00:00:00"/>
    <d v="2025-02-08T00:00:00"/>
    <x v="1"/>
    <x v="0"/>
    <x v="0"/>
    <x v="0"/>
    <x v="17"/>
    <x v="1"/>
    <x v="5"/>
    <x v="1"/>
  </r>
  <r>
    <s v="TX500914"/>
    <x v="14"/>
    <x v="13"/>
    <n v="18.7"/>
    <n v="112.19999999999999"/>
    <d v="2025-02-06T00:00:00"/>
    <d v="2025-02-08T00:00:00"/>
    <x v="0"/>
    <x v="0"/>
    <x v="1"/>
    <x v="0"/>
    <x v="10"/>
    <x v="1"/>
    <x v="5"/>
    <x v="0"/>
  </r>
  <r>
    <s v="TX500915"/>
    <x v="6"/>
    <x v="12"/>
    <n v="108.8"/>
    <n v="435.2"/>
    <d v="2025-02-06T00:00:00"/>
    <d v="2025-02-07T00:00:00"/>
    <x v="2"/>
    <x v="3"/>
    <x v="2"/>
    <x v="0"/>
    <x v="11"/>
    <x v="3"/>
    <x v="5"/>
    <x v="2"/>
  </r>
  <r>
    <s v="TX500916"/>
    <x v="15"/>
    <x v="9"/>
    <n v="38.5"/>
    <n v="192.5"/>
    <d v="2025-02-06T00:00:00"/>
    <d v="2025-02-10T00:00:00"/>
    <x v="2"/>
    <x v="0"/>
    <x v="1"/>
    <x v="0"/>
    <x v="14"/>
    <x v="5"/>
    <x v="5"/>
    <x v="2"/>
  </r>
  <r>
    <s v="TX500917"/>
    <x v="10"/>
    <x v="7"/>
    <n v="46.5"/>
    <n v="465"/>
    <d v="2025-02-06T00:00:00"/>
    <d v="2025-02-08T00:00:00"/>
    <x v="1"/>
    <x v="2"/>
    <x v="1"/>
    <x v="0"/>
    <x v="2"/>
    <x v="1"/>
    <x v="5"/>
    <x v="1"/>
  </r>
  <r>
    <s v="TX500918"/>
    <x v="2"/>
    <x v="2"/>
    <n v="75.8"/>
    <n v="227.39999999999998"/>
    <d v="2025-02-06T00:00:00"/>
    <d v="2025-02-10T00:00:00"/>
    <x v="2"/>
    <x v="1"/>
    <x v="4"/>
    <x v="0"/>
    <x v="44"/>
    <x v="5"/>
    <x v="5"/>
    <x v="2"/>
  </r>
  <r>
    <s v="TX500919"/>
    <x v="8"/>
    <x v="0"/>
    <n v="20.9"/>
    <n v="20.9"/>
    <d v="2025-02-06T00:00:00"/>
    <d v="2025-02-10T00:00:00"/>
    <x v="1"/>
    <x v="0"/>
    <x v="0"/>
    <x v="0"/>
    <x v="22"/>
    <x v="5"/>
    <x v="5"/>
    <x v="1"/>
  </r>
  <r>
    <s v="TX500920"/>
    <x v="18"/>
    <x v="2"/>
    <n v="47.4"/>
    <n v="142.19999999999999"/>
    <d v="2025-02-06T00:00:00"/>
    <d v="2025-02-09T00:00:00"/>
    <x v="2"/>
    <x v="0"/>
    <x v="0"/>
    <x v="0"/>
    <x v="3"/>
    <x v="2"/>
    <x v="5"/>
    <x v="2"/>
  </r>
  <r>
    <s v="TX500921"/>
    <x v="9"/>
    <x v="1"/>
    <n v="53.8"/>
    <n v="107.6"/>
    <d v="2025-02-06T00:00:00"/>
    <d v="2025-02-07T00:00:00"/>
    <x v="0"/>
    <x v="0"/>
    <x v="1"/>
    <x v="0"/>
    <x v="3"/>
    <x v="3"/>
    <x v="5"/>
    <x v="0"/>
  </r>
  <r>
    <s v="TX500922"/>
    <x v="8"/>
    <x v="2"/>
    <n v="24.6"/>
    <n v="73.800000000000011"/>
    <d v="2025-02-06T00:00:00"/>
    <d v="2025-02-08T00:00:00"/>
    <x v="3"/>
    <x v="1"/>
    <x v="2"/>
    <x v="0"/>
    <x v="3"/>
    <x v="1"/>
    <x v="5"/>
    <x v="3"/>
  </r>
  <r>
    <s v="TX500923"/>
    <x v="9"/>
    <x v="2"/>
    <n v="70.900000000000006"/>
    <n v="212.70000000000002"/>
    <d v="2025-02-06T00:00:00"/>
    <d v="2025-02-11T00:00:00"/>
    <x v="2"/>
    <x v="2"/>
    <x v="2"/>
    <x v="0"/>
    <x v="3"/>
    <x v="0"/>
    <x v="5"/>
    <x v="2"/>
  </r>
  <r>
    <s v="TX500924"/>
    <x v="17"/>
    <x v="2"/>
    <n v="31.9"/>
    <n v="95.699999999999989"/>
    <d v="2025-02-06T00:00:00"/>
    <d v="2025-02-08T00:00:00"/>
    <x v="2"/>
    <x v="2"/>
    <x v="2"/>
    <x v="0"/>
    <x v="3"/>
    <x v="1"/>
    <x v="5"/>
    <x v="2"/>
  </r>
  <r>
    <s v="TX500925"/>
    <x v="0"/>
    <x v="1"/>
    <n v="20.399999999999999"/>
    <n v="40.799999999999997"/>
    <d v="2025-02-06T00:00:00"/>
    <d v="2025-02-10T00:00:00"/>
    <x v="1"/>
    <x v="3"/>
    <x v="2"/>
    <x v="0"/>
    <x v="3"/>
    <x v="5"/>
    <x v="5"/>
    <x v="1"/>
  </r>
  <r>
    <s v="TX500926"/>
    <x v="8"/>
    <x v="1"/>
    <n v="18.600000000000001"/>
    <n v="37.200000000000003"/>
    <d v="2025-02-06T00:00:00"/>
    <d v="2025-02-08T00:00:00"/>
    <x v="0"/>
    <x v="0"/>
    <x v="1"/>
    <x v="0"/>
    <x v="3"/>
    <x v="1"/>
    <x v="5"/>
    <x v="0"/>
  </r>
  <r>
    <s v="TX500927"/>
    <x v="4"/>
    <x v="9"/>
    <n v="48.3"/>
    <n v="241.5"/>
    <d v="2025-02-06T00:00:00"/>
    <d v="2025-02-08T00:00:00"/>
    <x v="2"/>
    <x v="1"/>
    <x v="0"/>
    <x v="0"/>
    <x v="3"/>
    <x v="1"/>
    <x v="5"/>
    <x v="2"/>
  </r>
  <r>
    <s v="TX500928"/>
    <x v="0"/>
    <x v="12"/>
    <n v="27.7"/>
    <n v="110.8"/>
    <d v="2025-02-06T00:00:00"/>
    <d v="2025-02-08T00:00:00"/>
    <x v="2"/>
    <x v="0"/>
    <x v="0"/>
    <x v="0"/>
    <x v="3"/>
    <x v="1"/>
    <x v="5"/>
    <x v="2"/>
  </r>
  <r>
    <s v="TX500929"/>
    <x v="4"/>
    <x v="9"/>
    <n v="22.5"/>
    <n v="112.5"/>
    <d v="2025-02-06T00:00:00"/>
    <d v="2025-02-08T00:00:00"/>
    <x v="2"/>
    <x v="4"/>
    <x v="2"/>
    <x v="0"/>
    <x v="3"/>
    <x v="1"/>
    <x v="5"/>
    <x v="2"/>
  </r>
  <r>
    <s v="TX500930"/>
    <x v="17"/>
    <x v="9"/>
    <n v="21.6"/>
    <n v="108"/>
    <d v="2025-02-06T00:00:00"/>
    <d v="2025-02-14T00:00:00"/>
    <x v="2"/>
    <x v="0"/>
    <x v="1"/>
    <x v="0"/>
    <x v="3"/>
    <x v="9"/>
    <x v="5"/>
    <x v="2"/>
  </r>
  <r>
    <s v="TX500931"/>
    <x v="10"/>
    <x v="3"/>
    <n v="26.3"/>
    <n v="184.1"/>
    <d v="2025-02-06T00:00:00"/>
    <d v="2025-02-06T00:00:00"/>
    <x v="2"/>
    <x v="2"/>
    <x v="1"/>
    <x v="0"/>
    <x v="3"/>
    <x v="7"/>
    <x v="5"/>
    <x v="2"/>
  </r>
  <r>
    <s v="TX500932"/>
    <x v="6"/>
    <x v="3"/>
    <n v="103"/>
    <n v="721"/>
    <d v="2025-02-07T00:00:00"/>
    <d v="2025-02-08T00:00:00"/>
    <x v="1"/>
    <x v="0"/>
    <x v="2"/>
    <x v="0"/>
    <x v="6"/>
    <x v="3"/>
    <x v="5"/>
    <x v="1"/>
  </r>
  <r>
    <s v="TX500933"/>
    <x v="5"/>
    <x v="20"/>
    <n v="46.6"/>
    <n v="699"/>
    <d v="2025-02-07T00:00:00"/>
    <d v="2025-02-08T00:00:00"/>
    <x v="2"/>
    <x v="0"/>
    <x v="1"/>
    <x v="0"/>
    <x v="6"/>
    <x v="3"/>
    <x v="5"/>
    <x v="2"/>
  </r>
  <r>
    <s v="TX500934"/>
    <x v="0"/>
    <x v="9"/>
    <n v="32.200000000000003"/>
    <n v="161"/>
    <d v="2025-02-07T00:00:00"/>
    <d v="2025-02-10T00:00:00"/>
    <x v="2"/>
    <x v="0"/>
    <x v="2"/>
    <x v="0"/>
    <x v="36"/>
    <x v="2"/>
    <x v="5"/>
    <x v="2"/>
  </r>
  <r>
    <s v="TX500935"/>
    <x v="8"/>
    <x v="2"/>
    <n v="22"/>
    <n v="66"/>
    <d v="2025-02-07T00:00:00"/>
    <d v="2025-02-14T00:00:00"/>
    <x v="1"/>
    <x v="1"/>
    <x v="0"/>
    <x v="0"/>
    <x v="7"/>
    <x v="6"/>
    <x v="5"/>
    <x v="1"/>
  </r>
  <r>
    <s v="TX500936"/>
    <x v="0"/>
    <x v="1"/>
    <n v="25.2"/>
    <n v="50.4"/>
    <d v="2025-02-07T00:00:00"/>
    <d v="2025-02-11T00:00:00"/>
    <x v="2"/>
    <x v="0"/>
    <x v="0"/>
    <x v="0"/>
    <x v="7"/>
    <x v="5"/>
    <x v="5"/>
    <x v="2"/>
  </r>
  <r>
    <s v="TX500937"/>
    <x v="1"/>
    <x v="13"/>
    <n v="68.7"/>
    <n v="412.20000000000005"/>
    <d v="2025-02-07T00:00:00"/>
    <d v="2025-02-09T00:00:00"/>
    <x v="1"/>
    <x v="4"/>
    <x v="0"/>
    <x v="0"/>
    <x v="8"/>
    <x v="1"/>
    <x v="5"/>
    <x v="1"/>
  </r>
  <r>
    <s v="TX500938"/>
    <x v="0"/>
    <x v="2"/>
    <n v="22.2"/>
    <n v="66.599999999999994"/>
    <d v="2025-02-07T00:00:00"/>
    <d v="2025-02-10T00:00:00"/>
    <x v="1"/>
    <x v="2"/>
    <x v="2"/>
    <x v="0"/>
    <x v="8"/>
    <x v="2"/>
    <x v="5"/>
    <x v="1"/>
  </r>
  <r>
    <s v="TX500939"/>
    <x v="1"/>
    <x v="3"/>
    <n v="36"/>
    <n v="252"/>
    <d v="2025-02-07T00:00:00"/>
    <d v="2025-02-08T00:00:00"/>
    <x v="2"/>
    <x v="1"/>
    <x v="0"/>
    <x v="0"/>
    <x v="8"/>
    <x v="3"/>
    <x v="5"/>
    <x v="2"/>
  </r>
  <r>
    <s v="TX500940"/>
    <x v="18"/>
    <x v="0"/>
    <n v="50.6"/>
    <n v="50.6"/>
    <d v="2025-02-07T00:00:00"/>
    <d v="2025-02-09T00:00:00"/>
    <x v="2"/>
    <x v="0"/>
    <x v="1"/>
    <x v="0"/>
    <x v="8"/>
    <x v="1"/>
    <x v="5"/>
    <x v="2"/>
  </r>
  <r>
    <s v="TX500941"/>
    <x v="15"/>
    <x v="1"/>
    <n v="44.9"/>
    <n v="89.8"/>
    <d v="2025-02-07T00:00:00"/>
    <d v="2025-02-09T00:00:00"/>
    <x v="1"/>
    <x v="0"/>
    <x v="1"/>
    <x v="0"/>
    <x v="8"/>
    <x v="1"/>
    <x v="5"/>
    <x v="1"/>
  </r>
  <r>
    <s v="TX500942"/>
    <x v="6"/>
    <x v="2"/>
    <n v="71.599999999999994"/>
    <n v="214.79999999999998"/>
    <d v="2025-02-07T00:00:00"/>
    <d v="2025-02-11T00:00:00"/>
    <x v="1"/>
    <x v="1"/>
    <x v="2"/>
    <x v="0"/>
    <x v="10"/>
    <x v="5"/>
    <x v="5"/>
    <x v="1"/>
  </r>
  <r>
    <s v="TX500943"/>
    <x v="6"/>
    <x v="13"/>
    <n v="51.5"/>
    <n v="309"/>
    <d v="2025-02-07T00:00:00"/>
    <d v="2025-02-09T00:00:00"/>
    <x v="0"/>
    <x v="4"/>
    <x v="0"/>
    <x v="0"/>
    <x v="11"/>
    <x v="1"/>
    <x v="5"/>
    <x v="0"/>
  </r>
  <r>
    <s v="TX500944"/>
    <x v="7"/>
    <x v="9"/>
    <n v="55.5"/>
    <n v="277.5"/>
    <d v="2025-02-07T00:00:00"/>
    <d v="2025-02-08T00:00:00"/>
    <x v="1"/>
    <x v="1"/>
    <x v="1"/>
    <x v="0"/>
    <x v="11"/>
    <x v="3"/>
    <x v="5"/>
    <x v="1"/>
  </r>
  <r>
    <s v="TX500945"/>
    <x v="6"/>
    <x v="0"/>
    <n v="51.7"/>
    <n v="51.7"/>
    <d v="2025-02-07T00:00:00"/>
    <d v="2025-02-21T00:00:00"/>
    <x v="1"/>
    <x v="2"/>
    <x v="0"/>
    <x v="0"/>
    <x v="19"/>
    <x v="12"/>
    <x v="5"/>
    <x v="1"/>
  </r>
  <r>
    <s v="TX500946"/>
    <x v="8"/>
    <x v="38"/>
    <n v="45.5"/>
    <n v="955.5"/>
    <d v="2025-02-07T00:00:00"/>
    <d v="2025-02-08T00:00:00"/>
    <x v="2"/>
    <x v="3"/>
    <x v="2"/>
    <x v="0"/>
    <x v="19"/>
    <x v="3"/>
    <x v="5"/>
    <x v="2"/>
  </r>
  <r>
    <s v="TX500947"/>
    <x v="8"/>
    <x v="1"/>
    <n v="33.799999999999997"/>
    <n v="67.599999999999994"/>
    <d v="2025-02-07T00:00:00"/>
    <d v="2025-02-13T00:00:00"/>
    <x v="2"/>
    <x v="3"/>
    <x v="0"/>
    <x v="0"/>
    <x v="20"/>
    <x v="4"/>
    <x v="5"/>
    <x v="2"/>
  </r>
  <r>
    <s v="TX500948"/>
    <x v="3"/>
    <x v="2"/>
    <n v="76.5"/>
    <n v="229.5"/>
    <d v="2025-02-07T00:00:00"/>
    <d v="2025-02-08T00:00:00"/>
    <x v="2"/>
    <x v="0"/>
    <x v="1"/>
    <x v="0"/>
    <x v="21"/>
    <x v="3"/>
    <x v="5"/>
    <x v="2"/>
  </r>
  <r>
    <s v="TX500949"/>
    <x v="9"/>
    <x v="2"/>
    <n v="42.6"/>
    <n v="127.80000000000001"/>
    <d v="2025-02-07T00:00:00"/>
    <d v="2025-02-13T00:00:00"/>
    <x v="2"/>
    <x v="2"/>
    <x v="2"/>
    <x v="0"/>
    <x v="2"/>
    <x v="4"/>
    <x v="5"/>
    <x v="2"/>
  </r>
  <r>
    <s v="TX500950"/>
    <x v="6"/>
    <x v="2"/>
    <n v="44.1"/>
    <n v="132.30000000000001"/>
    <d v="2025-02-07T00:00:00"/>
    <d v="2025-02-09T00:00:00"/>
    <x v="2"/>
    <x v="1"/>
    <x v="1"/>
    <x v="0"/>
    <x v="22"/>
    <x v="1"/>
    <x v="5"/>
    <x v="2"/>
  </r>
  <r>
    <s v="TX500951"/>
    <x v="8"/>
    <x v="1"/>
    <n v="40.9"/>
    <n v="81.8"/>
    <d v="2025-02-07T00:00:00"/>
    <d v="2025-02-11T00:00:00"/>
    <x v="1"/>
    <x v="0"/>
    <x v="0"/>
    <x v="0"/>
    <x v="3"/>
    <x v="5"/>
    <x v="5"/>
    <x v="1"/>
  </r>
  <r>
    <s v="TX500952"/>
    <x v="9"/>
    <x v="2"/>
    <n v="49.1"/>
    <n v="147.30000000000001"/>
    <d v="2025-02-07T00:00:00"/>
    <d v="2025-02-11T00:00:00"/>
    <x v="2"/>
    <x v="3"/>
    <x v="1"/>
    <x v="0"/>
    <x v="3"/>
    <x v="5"/>
    <x v="5"/>
    <x v="2"/>
  </r>
  <r>
    <s v="TX500953"/>
    <x v="18"/>
    <x v="0"/>
    <n v="85.3"/>
    <n v="85.3"/>
    <d v="2025-02-07T00:00:00"/>
    <d v="2025-02-11T00:00:00"/>
    <x v="1"/>
    <x v="1"/>
    <x v="1"/>
    <x v="0"/>
    <x v="3"/>
    <x v="5"/>
    <x v="5"/>
    <x v="1"/>
  </r>
  <r>
    <s v="TX500954"/>
    <x v="6"/>
    <x v="12"/>
    <n v="43.1"/>
    <n v="172.4"/>
    <d v="2025-02-08T00:00:00"/>
    <d v="2025-02-11T00:00:00"/>
    <x v="1"/>
    <x v="0"/>
    <x v="0"/>
    <x v="0"/>
    <x v="3"/>
    <x v="2"/>
    <x v="5"/>
    <x v="1"/>
  </r>
  <r>
    <s v="TX500955"/>
    <x v="4"/>
    <x v="12"/>
    <n v="46.2"/>
    <n v="184.8"/>
    <d v="2025-02-08T00:00:00"/>
    <d v="2025-02-09T00:00:00"/>
    <x v="1"/>
    <x v="2"/>
    <x v="0"/>
    <x v="0"/>
    <x v="3"/>
    <x v="3"/>
    <x v="5"/>
    <x v="1"/>
  </r>
  <r>
    <s v="TX500956"/>
    <x v="1"/>
    <x v="0"/>
    <n v="74.400000000000006"/>
    <n v="74.400000000000006"/>
    <d v="2025-02-08T00:00:00"/>
    <d v="2025-02-10T00:00:00"/>
    <x v="1"/>
    <x v="4"/>
    <x v="2"/>
    <x v="0"/>
    <x v="3"/>
    <x v="1"/>
    <x v="5"/>
    <x v="1"/>
  </r>
  <r>
    <s v="TX500957"/>
    <x v="17"/>
    <x v="1"/>
    <n v="51.2"/>
    <n v="102.4"/>
    <d v="2025-02-08T00:00:00"/>
    <d v="2025-02-09T00:00:00"/>
    <x v="1"/>
    <x v="1"/>
    <x v="0"/>
    <x v="0"/>
    <x v="3"/>
    <x v="3"/>
    <x v="5"/>
    <x v="1"/>
  </r>
  <r>
    <s v="TX500958"/>
    <x v="14"/>
    <x v="12"/>
    <n v="11.8"/>
    <n v="47.2"/>
    <d v="2025-02-08T00:00:00"/>
    <d v="2025-02-08T00:00:00"/>
    <x v="1"/>
    <x v="2"/>
    <x v="0"/>
    <x v="0"/>
    <x v="3"/>
    <x v="7"/>
    <x v="5"/>
    <x v="1"/>
  </r>
  <r>
    <s v="TX500959"/>
    <x v="10"/>
    <x v="6"/>
    <n v="40.799999999999997"/>
    <n v="1101.5999999999999"/>
    <d v="2025-02-08T00:00:00"/>
    <d v="2025-02-09T00:00:00"/>
    <x v="2"/>
    <x v="3"/>
    <x v="2"/>
    <x v="0"/>
    <x v="3"/>
    <x v="3"/>
    <x v="5"/>
    <x v="2"/>
  </r>
  <r>
    <s v="TX500960"/>
    <x v="8"/>
    <x v="0"/>
    <n v="24.7"/>
    <n v="24.7"/>
    <d v="2025-02-08T00:00:00"/>
    <d v="2025-02-10T00:00:00"/>
    <x v="2"/>
    <x v="2"/>
    <x v="1"/>
    <x v="0"/>
    <x v="3"/>
    <x v="1"/>
    <x v="5"/>
    <x v="2"/>
  </r>
  <r>
    <s v="TX500961"/>
    <x v="8"/>
    <x v="3"/>
    <n v="22.1"/>
    <n v="154.70000000000002"/>
    <d v="2025-02-08T00:00:00"/>
    <d v="2025-02-08T00:00:00"/>
    <x v="2"/>
    <x v="2"/>
    <x v="4"/>
    <x v="0"/>
    <x v="3"/>
    <x v="7"/>
    <x v="5"/>
    <x v="2"/>
  </r>
  <r>
    <s v="TX500962"/>
    <x v="8"/>
    <x v="0"/>
    <n v="18.100000000000001"/>
    <n v="18.100000000000001"/>
    <d v="2025-02-08T00:00:00"/>
    <d v="2025-02-12T00:00:00"/>
    <x v="1"/>
    <x v="3"/>
    <x v="2"/>
    <x v="0"/>
    <x v="3"/>
    <x v="5"/>
    <x v="5"/>
    <x v="1"/>
  </r>
  <r>
    <s v="TX500963"/>
    <x v="17"/>
    <x v="1"/>
    <n v="58.8"/>
    <n v="117.6"/>
    <d v="2025-02-08T00:00:00"/>
    <d v="2025-02-11T00:00:00"/>
    <x v="2"/>
    <x v="0"/>
    <x v="0"/>
    <x v="0"/>
    <x v="25"/>
    <x v="2"/>
    <x v="5"/>
    <x v="2"/>
  </r>
  <r>
    <s v="TX500964"/>
    <x v="18"/>
    <x v="1"/>
    <n v="30.8"/>
    <n v="61.6"/>
    <d v="2025-02-08T00:00:00"/>
    <d v="2025-02-09T00:00:00"/>
    <x v="2"/>
    <x v="0"/>
    <x v="0"/>
    <x v="0"/>
    <x v="6"/>
    <x v="3"/>
    <x v="5"/>
    <x v="2"/>
  </r>
  <r>
    <s v="TX500965"/>
    <x v="0"/>
    <x v="1"/>
    <n v="12"/>
    <n v="24"/>
    <d v="2025-02-08T00:00:00"/>
    <d v="2025-02-12T00:00:00"/>
    <x v="2"/>
    <x v="0"/>
    <x v="0"/>
    <x v="0"/>
    <x v="6"/>
    <x v="5"/>
    <x v="5"/>
    <x v="2"/>
  </r>
  <r>
    <s v="TX500966"/>
    <x v="0"/>
    <x v="12"/>
    <n v="13.6"/>
    <n v="54.4"/>
    <d v="2025-02-08T00:00:00"/>
    <d v="2025-02-11T00:00:00"/>
    <x v="1"/>
    <x v="2"/>
    <x v="0"/>
    <x v="0"/>
    <x v="6"/>
    <x v="2"/>
    <x v="5"/>
    <x v="1"/>
  </r>
  <r>
    <s v="TX500967"/>
    <x v="0"/>
    <x v="0"/>
    <n v="17.899999999999999"/>
    <n v="17.899999999999999"/>
    <d v="2025-02-08T00:00:00"/>
    <d v="2025-02-09T00:00:00"/>
    <x v="1"/>
    <x v="3"/>
    <x v="0"/>
    <x v="0"/>
    <x v="6"/>
    <x v="3"/>
    <x v="5"/>
    <x v="1"/>
  </r>
  <r>
    <s v="TX500968"/>
    <x v="9"/>
    <x v="1"/>
    <n v="38.6"/>
    <n v="77.2"/>
    <d v="2025-02-08T00:00:00"/>
    <d v="2025-02-12T00:00:00"/>
    <x v="2"/>
    <x v="4"/>
    <x v="0"/>
    <x v="0"/>
    <x v="7"/>
    <x v="5"/>
    <x v="5"/>
    <x v="2"/>
  </r>
  <r>
    <s v="TX500969"/>
    <x v="5"/>
    <x v="9"/>
    <n v="32.700000000000003"/>
    <n v="163.5"/>
    <d v="2025-02-08T00:00:00"/>
    <d v="2025-02-09T00:00:00"/>
    <x v="1"/>
    <x v="2"/>
    <x v="2"/>
    <x v="0"/>
    <x v="8"/>
    <x v="3"/>
    <x v="5"/>
    <x v="1"/>
  </r>
  <r>
    <s v="TX500970"/>
    <x v="3"/>
    <x v="1"/>
    <n v="111.4"/>
    <n v="222.8"/>
    <d v="2025-02-08T00:00:00"/>
    <d v="2025-02-09T00:00:00"/>
    <x v="2"/>
    <x v="1"/>
    <x v="0"/>
    <x v="0"/>
    <x v="8"/>
    <x v="3"/>
    <x v="5"/>
    <x v="2"/>
  </r>
  <r>
    <s v="TX500971"/>
    <x v="2"/>
    <x v="13"/>
    <n v="80.3"/>
    <n v="481.79999999999995"/>
    <d v="2025-02-08T00:00:00"/>
    <d v="2025-02-10T00:00:00"/>
    <x v="2"/>
    <x v="1"/>
    <x v="0"/>
    <x v="0"/>
    <x v="8"/>
    <x v="1"/>
    <x v="5"/>
    <x v="2"/>
  </r>
  <r>
    <s v="TX500972"/>
    <x v="6"/>
    <x v="1"/>
    <n v="58.9"/>
    <n v="117.8"/>
    <d v="2025-02-08T00:00:00"/>
    <d v="2025-02-09T00:00:00"/>
    <x v="1"/>
    <x v="1"/>
    <x v="0"/>
    <x v="0"/>
    <x v="8"/>
    <x v="3"/>
    <x v="5"/>
    <x v="1"/>
  </r>
  <r>
    <s v="TX500973"/>
    <x v="6"/>
    <x v="2"/>
    <n v="51.9"/>
    <n v="155.69999999999999"/>
    <d v="2025-02-08T00:00:00"/>
    <d v="2025-02-10T00:00:00"/>
    <x v="2"/>
    <x v="1"/>
    <x v="4"/>
    <x v="0"/>
    <x v="8"/>
    <x v="1"/>
    <x v="5"/>
    <x v="2"/>
  </r>
  <r>
    <s v="TX500974"/>
    <x v="2"/>
    <x v="2"/>
    <n v="50.3"/>
    <n v="150.89999999999998"/>
    <d v="2025-02-08T00:00:00"/>
    <d v="2025-02-09T00:00:00"/>
    <x v="1"/>
    <x v="2"/>
    <x v="0"/>
    <x v="0"/>
    <x v="17"/>
    <x v="3"/>
    <x v="5"/>
    <x v="1"/>
  </r>
  <r>
    <s v="TX500975"/>
    <x v="11"/>
    <x v="13"/>
    <n v="45"/>
    <n v="270"/>
    <d v="2025-02-08T00:00:00"/>
    <d v="2025-02-14T00:00:00"/>
    <x v="2"/>
    <x v="3"/>
    <x v="0"/>
    <x v="0"/>
    <x v="9"/>
    <x v="4"/>
    <x v="5"/>
    <x v="2"/>
  </r>
  <r>
    <s v="TX500976"/>
    <x v="10"/>
    <x v="13"/>
    <n v="44.7"/>
    <n v="268.20000000000005"/>
    <d v="2025-02-08T00:00:00"/>
    <d v="2025-02-10T00:00:00"/>
    <x v="2"/>
    <x v="2"/>
    <x v="0"/>
    <x v="0"/>
    <x v="11"/>
    <x v="1"/>
    <x v="5"/>
    <x v="2"/>
  </r>
  <r>
    <s v="TX500977"/>
    <x v="18"/>
    <x v="20"/>
    <n v="33"/>
    <n v="495"/>
    <d v="2025-02-08T00:00:00"/>
    <d v="2025-02-09T00:00:00"/>
    <x v="2"/>
    <x v="2"/>
    <x v="0"/>
    <x v="0"/>
    <x v="11"/>
    <x v="3"/>
    <x v="5"/>
    <x v="2"/>
  </r>
  <r>
    <s v="TX500978"/>
    <x v="1"/>
    <x v="9"/>
    <n v="44.9"/>
    <n v="224.5"/>
    <d v="2025-02-08T00:00:00"/>
    <d v="2025-02-11T00:00:00"/>
    <x v="2"/>
    <x v="2"/>
    <x v="2"/>
    <x v="0"/>
    <x v="18"/>
    <x v="2"/>
    <x v="5"/>
    <x v="2"/>
  </r>
  <r>
    <s v="TX500979"/>
    <x v="10"/>
    <x v="1"/>
    <n v="34.6"/>
    <n v="69.2"/>
    <d v="2025-02-08T00:00:00"/>
    <d v="2025-02-12T00:00:00"/>
    <x v="2"/>
    <x v="0"/>
    <x v="1"/>
    <x v="0"/>
    <x v="19"/>
    <x v="5"/>
    <x v="5"/>
    <x v="2"/>
  </r>
  <r>
    <s v="TX500980"/>
    <x v="7"/>
    <x v="3"/>
    <n v="47.1"/>
    <n v="329.7"/>
    <d v="2025-02-08T00:00:00"/>
    <d v="2025-02-13T00:00:00"/>
    <x v="2"/>
    <x v="0"/>
    <x v="0"/>
    <x v="0"/>
    <x v="13"/>
    <x v="0"/>
    <x v="5"/>
    <x v="2"/>
  </r>
  <r>
    <s v="TX500981"/>
    <x v="4"/>
    <x v="9"/>
    <n v="26.1"/>
    <n v="130.5"/>
    <d v="2025-02-08T00:00:00"/>
    <d v="2025-02-13T00:00:00"/>
    <x v="1"/>
    <x v="0"/>
    <x v="2"/>
    <x v="0"/>
    <x v="21"/>
    <x v="0"/>
    <x v="5"/>
    <x v="1"/>
  </r>
  <r>
    <s v="TX500982"/>
    <x v="12"/>
    <x v="9"/>
    <n v="66.8"/>
    <n v="334"/>
    <d v="2025-02-08T00:00:00"/>
    <d v="2025-02-11T00:00:00"/>
    <x v="2"/>
    <x v="0"/>
    <x v="0"/>
    <x v="0"/>
    <x v="21"/>
    <x v="2"/>
    <x v="5"/>
    <x v="2"/>
  </r>
  <r>
    <s v="TX500983"/>
    <x v="2"/>
    <x v="1"/>
    <n v="167.9"/>
    <n v="335.8"/>
    <d v="2025-02-08T00:00:00"/>
    <d v="2025-02-09T00:00:00"/>
    <x v="2"/>
    <x v="3"/>
    <x v="2"/>
    <x v="0"/>
    <x v="21"/>
    <x v="3"/>
    <x v="5"/>
    <x v="2"/>
  </r>
  <r>
    <s v="TX500984"/>
    <x v="10"/>
    <x v="11"/>
    <n v="34.6"/>
    <n v="311.40000000000003"/>
    <d v="2025-02-08T00:00:00"/>
    <d v="2025-02-09T00:00:00"/>
    <x v="2"/>
    <x v="2"/>
    <x v="1"/>
    <x v="0"/>
    <x v="21"/>
    <x v="3"/>
    <x v="5"/>
    <x v="2"/>
  </r>
  <r>
    <s v="TX500985"/>
    <x v="8"/>
    <x v="2"/>
    <n v="35.1"/>
    <n v="105.30000000000001"/>
    <d v="2025-02-09T00:00:00"/>
    <d v="2025-02-13T00:00:00"/>
    <x v="1"/>
    <x v="4"/>
    <x v="2"/>
    <x v="0"/>
    <x v="1"/>
    <x v="5"/>
    <x v="6"/>
    <x v="1"/>
  </r>
  <r>
    <s v="TX500986"/>
    <x v="6"/>
    <x v="12"/>
    <n v="104.5"/>
    <n v="418"/>
    <d v="2025-02-09T00:00:00"/>
    <d v="2025-02-10T00:00:00"/>
    <x v="1"/>
    <x v="1"/>
    <x v="1"/>
    <x v="0"/>
    <x v="1"/>
    <x v="3"/>
    <x v="6"/>
    <x v="1"/>
  </r>
  <r>
    <s v="TX500987"/>
    <x v="8"/>
    <x v="0"/>
    <n v="37.9"/>
    <n v="37.9"/>
    <d v="2025-02-09T00:00:00"/>
    <d v="2025-02-11T00:00:00"/>
    <x v="0"/>
    <x v="1"/>
    <x v="2"/>
    <x v="0"/>
    <x v="2"/>
    <x v="1"/>
    <x v="6"/>
    <x v="0"/>
  </r>
  <r>
    <s v="TX500988"/>
    <x v="4"/>
    <x v="2"/>
    <n v="25.5"/>
    <n v="76.5"/>
    <d v="2025-02-09T00:00:00"/>
    <d v="2025-02-12T00:00:00"/>
    <x v="1"/>
    <x v="3"/>
    <x v="0"/>
    <x v="0"/>
    <x v="2"/>
    <x v="2"/>
    <x v="6"/>
    <x v="1"/>
  </r>
  <r>
    <s v="TX500989"/>
    <x v="0"/>
    <x v="2"/>
    <n v="32"/>
    <n v="96"/>
    <d v="2025-02-09T00:00:00"/>
    <d v="2025-02-13T00:00:00"/>
    <x v="2"/>
    <x v="1"/>
    <x v="0"/>
    <x v="0"/>
    <x v="22"/>
    <x v="5"/>
    <x v="6"/>
    <x v="2"/>
  </r>
  <r>
    <s v="TX500990"/>
    <x v="1"/>
    <x v="0"/>
    <n v="47.1"/>
    <n v="47.1"/>
    <d v="2025-02-09T00:00:00"/>
    <d v="2025-02-10T00:00:00"/>
    <x v="2"/>
    <x v="0"/>
    <x v="0"/>
    <x v="0"/>
    <x v="34"/>
    <x v="3"/>
    <x v="6"/>
    <x v="2"/>
  </r>
  <r>
    <s v="TX500991"/>
    <x v="6"/>
    <x v="1"/>
    <n v="50.6"/>
    <n v="101.2"/>
    <d v="2025-02-09T00:00:00"/>
    <d v="2025-02-15T00:00:00"/>
    <x v="0"/>
    <x v="0"/>
    <x v="0"/>
    <x v="0"/>
    <x v="3"/>
    <x v="4"/>
    <x v="6"/>
    <x v="0"/>
  </r>
  <r>
    <s v="TX500992"/>
    <x v="6"/>
    <x v="9"/>
    <n v="81.7"/>
    <n v="408.5"/>
    <d v="2025-02-09T00:00:00"/>
    <d v="2025-02-10T00:00:00"/>
    <x v="2"/>
    <x v="1"/>
    <x v="2"/>
    <x v="0"/>
    <x v="3"/>
    <x v="3"/>
    <x v="6"/>
    <x v="2"/>
  </r>
  <r>
    <s v="TX500993"/>
    <x v="5"/>
    <x v="1"/>
    <n v="50.7"/>
    <n v="101.4"/>
    <d v="2025-02-09T00:00:00"/>
    <d v="2025-02-10T00:00:00"/>
    <x v="3"/>
    <x v="2"/>
    <x v="2"/>
    <x v="0"/>
    <x v="3"/>
    <x v="3"/>
    <x v="6"/>
    <x v="3"/>
  </r>
  <r>
    <s v="TX500994"/>
    <x v="2"/>
    <x v="10"/>
    <n v="67.3"/>
    <n v="1278.7"/>
    <d v="2025-02-09T00:00:00"/>
    <d v="2025-02-13T00:00:00"/>
    <x v="2"/>
    <x v="2"/>
    <x v="0"/>
    <x v="0"/>
    <x v="3"/>
    <x v="5"/>
    <x v="6"/>
    <x v="2"/>
  </r>
  <r>
    <s v="TX500995"/>
    <x v="2"/>
    <x v="12"/>
    <n v="64.8"/>
    <n v="259.2"/>
    <d v="2025-02-09T00:00:00"/>
    <d v="2025-02-12T00:00:00"/>
    <x v="2"/>
    <x v="3"/>
    <x v="0"/>
    <x v="0"/>
    <x v="3"/>
    <x v="2"/>
    <x v="6"/>
    <x v="2"/>
  </r>
  <r>
    <s v="TX500996"/>
    <x v="5"/>
    <x v="32"/>
    <n v="61.3"/>
    <n v="1348.6"/>
    <d v="2025-02-09T00:00:00"/>
    <d v="2025-02-10T00:00:00"/>
    <x v="2"/>
    <x v="0"/>
    <x v="2"/>
    <x v="0"/>
    <x v="3"/>
    <x v="3"/>
    <x v="6"/>
    <x v="2"/>
  </r>
  <r>
    <s v="TX500997"/>
    <x v="14"/>
    <x v="0"/>
    <n v="32.9"/>
    <n v="32.9"/>
    <d v="2025-02-09T00:00:00"/>
    <d v="2025-02-12T00:00:00"/>
    <x v="2"/>
    <x v="4"/>
    <x v="0"/>
    <x v="0"/>
    <x v="3"/>
    <x v="2"/>
    <x v="6"/>
    <x v="2"/>
  </r>
  <r>
    <s v="TX500998"/>
    <x v="6"/>
    <x v="1"/>
    <n v="100.8"/>
    <n v="201.6"/>
    <d v="2025-02-09T00:00:00"/>
    <d v="2025-02-12T00:00:00"/>
    <x v="2"/>
    <x v="0"/>
    <x v="0"/>
    <x v="0"/>
    <x v="3"/>
    <x v="2"/>
    <x v="6"/>
    <x v="2"/>
  </r>
  <r>
    <s v="TX500999"/>
    <x v="8"/>
    <x v="12"/>
    <n v="25.1"/>
    <n v="100.4"/>
    <d v="2025-02-09T00:00:00"/>
    <d v="2025-02-11T00:00:00"/>
    <x v="2"/>
    <x v="1"/>
    <x v="0"/>
    <x v="0"/>
    <x v="3"/>
    <x v="1"/>
    <x v="6"/>
    <x v="2"/>
  </r>
  <r>
    <s v="TX501000"/>
    <x v="17"/>
    <x v="0"/>
    <n v="48.5"/>
    <n v="48.5"/>
    <d v="2025-02-09T00:00:00"/>
    <d v="2025-02-10T00:00:00"/>
    <x v="2"/>
    <x v="0"/>
    <x v="1"/>
    <x v="0"/>
    <x v="3"/>
    <x v="3"/>
    <x v="6"/>
    <x v="2"/>
  </r>
  <r>
    <s v="TX501001"/>
    <x v="7"/>
    <x v="1"/>
    <n v="33.6"/>
    <n v="67.2"/>
    <d v="2025-02-09T00:00:00"/>
    <d v="2025-02-13T00:00:00"/>
    <x v="2"/>
    <x v="2"/>
    <x v="2"/>
    <x v="0"/>
    <x v="3"/>
    <x v="5"/>
    <x v="6"/>
    <x v="2"/>
  </r>
  <r>
    <s v="TX501002"/>
    <x v="8"/>
    <x v="0"/>
    <n v="39.299999999999997"/>
    <n v="39.299999999999997"/>
    <d v="2025-02-09T00:00:00"/>
    <d v="2025-02-20T00:00:00"/>
    <x v="2"/>
    <x v="1"/>
    <x v="1"/>
    <x v="0"/>
    <x v="49"/>
    <x v="11"/>
    <x v="6"/>
    <x v="2"/>
  </r>
  <r>
    <s v="TX501003"/>
    <x v="4"/>
    <x v="7"/>
    <n v="48.8"/>
    <n v="488"/>
    <d v="2025-02-09T00:00:00"/>
    <d v="2025-02-11T00:00:00"/>
    <x v="2"/>
    <x v="3"/>
    <x v="1"/>
    <x v="0"/>
    <x v="25"/>
    <x v="1"/>
    <x v="6"/>
    <x v="2"/>
  </r>
  <r>
    <s v="TX501004"/>
    <x v="6"/>
    <x v="8"/>
    <n v="72.8"/>
    <n v="582.4"/>
    <d v="2025-02-09T00:00:00"/>
    <d v="2025-02-11T00:00:00"/>
    <x v="1"/>
    <x v="1"/>
    <x v="2"/>
    <x v="0"/>
    <x v="5"/>
    <x v="1"/>
    <x v="6"/>
    <x v="1"/>
  </r>
  <r>
    <s v="TX501005"/>
    <x v="10"/>
    <x v="8"/>
    <n v="46.2"/>
    <n v="369.6"/>
    <d v="2025-02-09T00:00:00"/>
    <d v="2025-02-10T00:00:00"/>
    <x v="1"/>
    <x v="3"/>
    <x v="4"/>
    <x v="0"/>
    <x v="5"/>
    <x v="3"/>
    <x v="6"/>
    <x v="1"/>
  </r>
  <r>
    <s v="TX501006"/>
    <x v="4"/>
    <x v="1"/>
    <n v="20.7"/>
    <n v="41.4"/>
    <d v="2025-02-09T00:00:00"/>
    <d v="2025-02-10T00:00:00"/>
    <x v="2"/>
    <x v="2"/>
    <x v="3"/>
    <x v="0"/>
    <x v="6"/>
    <x v="3"/>
    <x v="6"/>
    <x v="2"/>
  </r>
  <r>
    <s v="TX501007"/>
    <x v="0"/>
    <x v="0"/>
    <n v="35.700000000000003"/>
    <n v="35.700000000000003"/>
    <d v="2025-02-09T00:00:00"/>
    <d v="2025-02-11T00:00:00"/>
    <x v="2"/>
    <x v="3"/>
    <x v="0"/>
    <x v="0"/>
    <x v="6"/>
    <x v="1"/>
    <x v="6"/>
    <x v="2"/>
  </r>
  <r>
    <s v="TX501008"/>
    <x v="2"/>
    <x v="27"/>
    <n v="166.2"/>
    <n v="2659.2"/>
    <d v="2025-02-09T00:00:00"/>
    <d v="2025-02-11T00:00:00"/>
    <x v="0"/>
    <x v="2"/>
    <x v="0"/>
    <x v="0"/>
    <x v="7"/>
    <x v="1"/>
    <x v="6"/>
    <x v="0"/>
  </r>
  <r>
    <s v="TX501009"/>
    <x v="6"/>
    <x v="12"/>
    <n v="85.8"/>
    <n v="343.2"/>
    <d v="2025-02-09T00:00:00"/>
    <d v="2025-02-10T00:00:00"/>
    <x v="2"/>
    <x v="1"/>
    <x v="1"/>
    <x v="0"/>
    <x v="7"/>
    <x v="3"/>
    <x v="6"/>
    <x v="2"/>
  </r>
  <r>
    <s v="TX501010"/>
    <x v="8"/>
    <x v="2"/>
    <n v="26"/>
    <n v="78"/>
    <d v="2025-02-09T00:00:00"/>
    <d v="2025-02-11T00:00:00"/>
    <x v="3"/>
    <x v="1"/>
    <x v="0"/>
    <x v="0"/>
    <x v="7"/>
    <x v="1"/>
    <x v="6"/>
    <x v="3"/>
  </r>
  <r>
    <s v="TX501011"/>
    <x v="2"/>
    <x v="15"/>
    <n v="116.6"/>
    <n v="1515.8"/>
    <d v="2025-02-09T00:00:00"/>
    <d v="2025-02-12T00:00:00"/>
    <x v="2"/>
    <x v="0"/>
    <x v="0"/>
    <x v="0"/>
    <x v="8"/>
    <x v="2"/>
    <x v="6"/>
    <x v="2"/>
  </r>
  <r>
    <s v="TX501012"/>
    <x v="9"/>
    <x v="3"/>
    <n v="53.9"/>
    <n v="377.3"/>
    <d v="2025-02-09T00:00:00"/>
    <d v="2025-02-12T00:00:00"/>
    <x v="3"/>
    <x v="0"/>
    <x v="2"/>
    <x v="0"/>
    <x v="8"/>
    <x v="2"/>
    <x v="6"/>
    <x v="3"/>
  </r>
  <r>
    <s v="TX501013"/>
    <x v="12"/>
    <x v="9"/>
    <n v="72.3"/>
    <n v="361.5"/>
    <d v="2025-02-09T00:00:00"/>
    <d v="2025-02-11T00:00:00"/>
    <x v="0"/>
    <x v="2"/>
    <x v="2"/>
    <x v="0"/>
    <x v="8"/>
    <x v="1"/>
    <x v="6"/>
    <x v="0"/>
  </r>
  <r>
    <s v="TX501014"/>
    <x v="5"/>
    <x v="1"/>
    <n v="31.4"/>
    <n v="62.8"/>
    <d v="2025-02-09T00:00:00"/>
    <d v="2025-02-11T00:00:00"/>
    <x v="2"/>
    <x v="0"/>
    <x v="0"/>
    <x v="0"/>
    <x v="8"/>
    <x v="1"/>
    <x v="6"/>
    <x v="2"/>
  </r>
  <r>
    <s v="TX501015"/>
    <x v="13"/>
    <x v="1"/>
    <n v="53.1"/>
    <n v="106.2"/>
    <d v="2025-02-09T00:00:00"/>
    <d v="2025-02-12T00:00:00"/>
    <x v="1"/>
    <x v="1"/>
    <x v="0"/>
    <x v="0"/>
    <x v="8"/>
    <x v="2"/>
    <x v="6"/>
    <x v="1"/>
  </r>
  <r>
    <s v="TX501016"/>
    <x v="2"/>
    <x v="12"/>
    <n v="56.2"/>
    <n v="224.8"/>
    <d v="2025-02-09T00:00:00"/>
    <d v="2025-02-10T00:00:00"/>
    <x v="2"/>
    <x v="0"/>
    <x v="0"/>
    <x v="0"/>
    <x v="8"/>
    <x v="3"/>
    <x v="6"/>
    <x v="2"/>
  </r>
  <r>
    <s v="TX501017"/>
    <x v="1"/>
    <x v="7"/>
    <n v="77.3"/>
    <n v="773"/>
    <d v="2025-02-09T00:00:00"/>
    <d v="2025-02-10T00:00:00"/>
    <x v="2"/>
    <x v="2"/>
    <x v="0"/>
    <x v="0"/>
    <x v="11"/>
    <x v="3"/>
    <x v="6"/>
    <x v="2"/>
  </r>
  <r>
    <s v="TX501018"/>
    <x v="6"/>
    <x v="15"/>
    <n v="57.8"/>
    <n v="751.4"/>
    <d v="2025-02-09T00:00:00"/>
    <d v="2025-02-10T00:00:00"/>
    <x v="0"/>
    <x v="0"/>
    <x v="0"/>
    <x v="0"/>
    <x v="53"/>
    <x v="3"/>
    <x v="6"/>
    <x v="0"/>
  </r>
  <r>
    <s v="TX501019"/>
    <x v="12"/>
    <x v="20"/>
    <n v="42.1"/>
    <n v="631.5"/>
    <d v="2025-02-09T00:00:00"/>
    <d v="2025-02-11T00:00:00"/>
    <x v="2"/>
    <x v="1"/>
    <x v="1"/>
    <x v="0"/>
    <x v="53"/>
    <x v="1"/>
    <x v="6"/>
    <x v="2"/>
  </r>
  <r>
    <s v="TX501020"/>
    <x v="8"/>
    <x v="11"/>
    <n v="22.8"/>
    <n v="205.20000000000002"/>
    <d v="2025-02-09T00:00:00"/>
    <d v="2025-02-13T00:00:00"/>
    <x v="1"/>
    <x v="2"/>
    <x v="2"/>
    <x v="0"/>
    <x v="19"/>
    <x v="5"/>
    <x v="6"/>
    <x v="1"/>
  </r>
  <r>
    <s v="TX501021"/>
    <x v="2"/>
    <x v="2"/>
    <n v="171.1"/>
    <n v="513.29999999999995"/>
    <d v="2025-02-10T00:00:00"/>
    <d v="2025-02-17T00:00:00"/>
    <x v="2"/>
    <x v="2"/>
    <x v="1"/>
    <x v="0"/>
    <x v="19"/>
    <x v="6"/>
    <x v="6"/>
    <x v="2"/>
  </r>
  <r>
    <s v="TX501022"/>
    <x v="8"/>
    <x v="0"/>
    <n v="28"/>
    <n v="28"/>
    <d v="2025-02-10T00:00:00"/>
    <d v="2025-02-12T00:00:00"/>
    <x v="1"/>
    <x v="2"/>
    <x v="2"/>
    <x v="0"/>
    <x v="21"/>
    <x v="1"/>
    <x v="6"/>
    <x v="1"/>
  </r>
  <r>
    <s v="TX501023"/>
    <x v="6"/>
    <x v="3"/>
    <n v="50.2"/>
    <n v="351.40000000000003"/>
    <d v="2025-02-10T00:00:00"/>
    <d v="2025-02-12T00:00:00"/>
    <x v="1"/>
    <x v="2"/>
    <x v="0"/>
    <x v="0"/>
    <x v="21"/>
    <x v="1"/>
    <x v="6"/>
    <x v="1"/>
  </r>
  <r>
    <s v="TX501024"/>
    <x v="6"/>
    <x v="1"/>
    <n v="56"/>
    <n v="112"/>
    <d v="2025-02-10T00:00:00"/>
    <d v="2025-02-10T00:00:00"/>
    <x v="1"/>
    <x v="0"/>
    <x v="2"/>
    <x v="0"/>
    <x v="22"/>
    <x v="7"/>
    <x v="6"/>
    <x v="1"/>
  </r>
  <r>
    <s v="TX501025"/>
    <x v="1"/>
    <x v="1"/>
    <n v="38.299999999999997"/>
    <n v="76.599999999999994"/>
    <d v="2025-02-10T00:00:00"/>
    <d v="2025-02-11T00:00:00"/>
    <x v="2"/>
    <x v="1"/>
    <x v="0"/>
    <x v="0"/>
    <x v="3"/>
    <x v="3"/>
    <x v="6"/>
    <x v="2"/>
  </r>
  <r>
    <s v="TX501026"/>
    <x v="0"/>
    <x v="9"/>
    <n v="22.3"/>
    <n v="111.5"/>
    <d v="2025-02-10T00:00:00"/>
    <d v="2025-02-14T00:00:00"/>
    <x v="2"/>
    <x v="2"/>
    <x v="1"/>
    <x v="0"/>
    <x v="3"/>
    <x v="5"/>
    <x v="6"/>
    <x v="2"/>
  </r>
  <r>
    <s v="TX501027"/>
    <x v="0"/>
    <x v="2"/>
    <n v="22.3"/>
    <n v="66.900000000000006"/>
    <d v="2025-02-10T00:00:00"/>
    <d v="2025-02-13T00:00:00"/>
    <x v="2"/>
    <x v="2"/>
    <x v="0"/>
    <x v="0"/>
    <x v="3"/>
    <x v="2"/>
    <x v="6"/>
    <x v="2"/>
  </r>
  <r>
    <s v="TX501028"/>
    <x v="1"/>
    <x v="0"/>
    <n v="32.9"/>
    <n v="32.9"/>
    <d v="2025-02-10T00:00:00"/>
    <d v="2025-02-15T00:00:00"/>
    <x v="2"/>
    <x v="0"/>
    <x v="0"/>
    <x v="0"/>
    <x v="3"/>
    <x v="0"/>
    <x v="6"/>
    <x v="2"/>
  </r>
  <r>
    <s v="TX501029"/>
    <x v="10"/>
    <x v="2"/>
    <n v="31.9"/>
    <n v="95.699999999999989"/>
    <d v="2025-02-10T00:00:00"/>
    <d v="2025-02-15T00:00:00"/>
    <x v="2"/>
    <x v="0"/>
    <x v="0"/>
    <x v="0"/>
    <x v="3"/>
    <x v="0"/>
    <x v="6"/>
    <x v="2"/>
  </r>
  <r>
    <s v="TX501030"/>
    <x v="6"/>
    <x v="1"/>
    <n v="94"/>
    <n v="188"/>
    <d v="2025-02-10T00:00:00"/>
    <d v="2025-02-11T00:00:00"/>
    <x v="1"/>
    <x v="2"/>
    <x v="2"/>
    <x v="0"/>
    <x v="3"/>
    <x v="3"/>
    <x v="6"/>
    <x v="1"/>
  </r>
  <r>
    <s v="TX501031"/>
    <x v="10"/>
    <x v="1"/>
    <n v="30.7"/>
    <n v="61.4"/>
    <d v="2025-02-10T00:00:00"/>
    <d v="2025-02-11T00:00:00"/>
    <x v="2"/>
    <x v="0"/>
    <x v="1"/>
    <x v="0"/>
    <x v="3"/>
    <x v="3"/>
    <x v="6"/>
    <x v="2"/>
  </r>
  <r>
    <s v="TX501032"/>
    <x v="5"/>
    <x v="9"/>
    <n v="90.5"/>
    <n v="452.5"/>
    <d v="2025-02-10T00:00:00"/>
    <d v="2025-02-17T00:00:00"/>
    <x v="1"/>
    <x v="0"/>
    <x v="2"/>
    <x v="0"/>
    <x v="3"/>
    <x v="6"/>
    <x v="6"/>
    <x v="1"/>
  </r>
  <r>
    <s v="TX501033"/>
    <x v="8"/>
    <x v="9"/>
    <n v="25.3"/>
    <n v="126.5"/>
    <d v="2025-02-10T00:00:00"/>
    <d v="2025-02-14T00:00:00"/>
    <x v="2"/>
    <x v="0"/>
    <x v="2"/>
    <x v="0"/>
    <x v="3"/>
    <x v="5"/>
    <x v="6"/>
    <x v="2"/>
  </r>
  <r>
    <s v="TX501034"/>
    <x v="6"/>
    <x v="2"/>
    <n v="58.1"/>
    <n v="174.3"/>
    <d v="2025-02-10T00:00:00"/>
    <d v="2025-02-14T00:00:00"/>
    <x v="0"/>
    <x v="0"/>
    <x v="2"/>
    <x v="0"/>
    <x v="3"/>
    <x v="5"/>
    <x v="6"/>
    <x v="0"/>
  </r>
  <r>
    <s v="TX501035"/>
    <x v="2"/>
    <x v="2"/>
    <n v="74.900000000000006"/>
    <n v="224.70000000000002"/>
    <d v="2025-02-10T00:00:00"/>
    <d v="2025-02-11T00:00:00"/>
    <x v="2"/>
    <x v="4"/>
    <x v="0"/>
    <x v="0"/>
    <x v="3"/>
    <x v="3"/>
    <x v="6"/>
    <x v="2"/>
  </r>
  <r>
    <s v="TX501036"/>
    <x v="4"/>
    <x v="1"/>
    <n v="32.5"/>
    <n v="65"/>
    <d v="2025-02-10T00:00:00"/>
    <d v="2025-02-11T00:00:00"/>
    <x v="1"/>
    <x v="2"/>
    <x v="2"/>
    <x v="0"/>
    <x v="43"/>
    <x v="3"/>
    <x v="6"/>
    <x v="1"/>
  </r>
  <r>
    <s v="TX501037"/>
    <x v="4"/>
    <x v="9"/>
    <n v="62"/>
    <n v="310"/>
    <d v="2025-02-10T00:00:00"/>
    <d v="2025-02-11T00:00:00"/>
    <x v="1"/>
    <x v="4"/>
    <x v="2"/>
    <x v="0"/>
    <x v="25"/>
    <x v="3"/>
    <x v="6"/>
    <x v="1"/>
  </r>
  <r>
    <s v="TX501038"/>
    <x v="13"/>
    <x v="13"/>
    <n v="28.9"/>
    <n v="173.39999999999998"/>
    <d v="2025-02-10T00:00:00"/>
    <d v="2025-02-13T00:00:00"/>
    <x v="2"/>
    <x v="0"/>
    <x v="1"/>
    <x v="0"/>
    <x v="6"/>
    <x v="2"/>
    <x v="6"/>
    <x v="2"/>
  </r>
  <r>
    <s v="TX501039"/>
    <x v="6"/>
    <x v="8"/>
    <n v="42.8"/>
    <n v="342.4"/>
    <d v="2025-02-10T00:00:00"/>
    <d v="2025-02-12T00:00:00"/>
    <x v="2"/>
    <x v="0"/>
    <x v="2"/>
    <x v="0"/>
    <x v="6"/>
    <x v="1"/>
    <x v="6"/>
    <x v="2"/>
  </r>
  <r>
    <s v="TX501040"/>
    <x v="8"/>
    <x v="8"/>
    <n v="39.4"/>
    <n v="315.2"/>
    <d v="2025-02-10T00:00:00"/>
    <d v="2025-02-12T00:00:00"/>
    <x v="1"/>
    <x v="0"/>
    <x v="0"/>
    <x v="0"/>
    <x v="36"/>
    <x v="1"/>
    <x v="6"/>
    <x v="1"/>
  </r>
  <r>
    <s v="TX501041"/>
    <x v="18"/>
    <x v="2"/>
    <n v="66.400000000000006"/>
    <n v="199.20000000000002"/>
    <d v="2025-02-10T00:00:00"/>
    <d v="2025-02-11T00:00:00"/>
    <x v="0"/>
    <x v="2"/>
    <x v="1"/>
    <x v="0"/>
    <x v="7"/>
    <x v="3"/>
    <x v="6"/>
    <x v="0"/>
  </r>
  <r>
    <s v="TX501042"/>
    <x v="17"/>
    <x v="12"/>
    <n v="35.9"/>
    <n v="143.6"/>
    <d v="2025-02-10T00:00:00"/>
    <d v="2025-02-17T00:00:00"/>
    <x v="2"/>
    <x v="1"/>
    <x v="0"/>
    <x v="0"/>
    <x v="7"/>
    <x v="6"/>
    <x v="6"/>
    <x v="2"/>
  </r>
  <r>
    <s v="TX501043"/>
    <x v="0"/>
    <x v="12"/>
    <n v="26.9"/>
    <n v="107.6"/>
    <d v="2025-02-10T00:00:00"/>
    <d v="2025-02-11T00:00:00"/>
    <x v="1"/>
    <x v="1"/>
    <x v="0"/>
    <x v="0"/>
    <x v="7"/>
    <x v="3"/>
    <x v="6"/>
    <x v="1"/>
  </r>
  <r>
    <s v="TX501044"/>
    <x v="2"/>
    <x v="0"/>
    <n v="55.1"/>
    <n v="55.1"/>
    <d v="2025-02-10T00:00:00"/>
    <d v="2025-02-11T00:00:00"/>
    <x v="2"/>
    <x v="0"/>
    <x v="0"/>
    <x v="0"/>
    <x v="7"/>
    <x v="3"/>
    <x v="6"/>
    <x v="2"/>
  </r>
  <r>
    <s v="TX501045"/>
    <x v="4"/>
    <x v="1"/>
    <n v="23.9"/>
    <n v="47.8"/>
    <d v="2025-02-10T00:00:00"/>
    <d v="2025-02-11T00:00:00"/>
    <x v="1"/>
    <x v="0"/>
    <x v="2"/>
    <x v="0"/>
    <x v="8"/>
    <x v="3"/>
    <x v="6"/>
    <x v="1"/>
  </r>
  <r>
    <s v="TX501046"/>
    <x v="9"/>
    <x v="15"/>
    <n v="21.1"/>
    <n v="274.3"/>
    <d v="2025-02-10T00:00:00"/>
    <d v="2025-02-18T00:00:00"/>
    <x v="2"/>
    <x v="0"/>
    <x v="1"/>
    <x v="0"/>
    <x v="8"/>
    <x v="9"/>
    <x v="6"/>
    <x v="2"/>
  </r>
  <r>
    <s v="TX501047"/>
    <x v="8"/>
    <x v="9"/>
    <n v="33.799999999999997"/>
    <n v="169"/>
    <d v="2025-02-10T00:00:00"/>
    <d v="2025-02-12T00:00:00"/>
    <x v="2"/>
    <x v="0"/>
    <x v="0"/>
    <x v="0"/>
    <x v="8"/>
    <x v="1"/>
    <x v="6"/>
    <x v="2"/>
  </r>
  <r>
    <s v="TX501048"/>
    <x v="2"/>
    <x v="12"/>
    <n v="56.1"/>
    <n v="224.4"/>
    <d v="2025-02-10T00:00:00"/>
    <d v="2025-02-10T00:00:00"/>
    <x v="2"/>
    <x v="3"/>
    <x v="2"/>
    <x v="0"/>
    <x v="9"/>
    <x v="7"/>
    <x v="6"/>
    <x v="2"/>
  </r>
  <r>
    <s v="TX501049"/>
    <x v="3"/>
    <x v="0"/>
    <n v="58.5"/>
    <n v="58.5"/>
    <d v="2025-02-11T00:00:00"/>
    <d v="2025-02-15T00:00:00"/>
    <x v="2"/>
    <x v="1"/>
    <x v="2"/>
    <x v="0"/>
    <x v="9"/>
    <x v="5"/>
    <x v="6"/>
    <x v="2"/>
  </r>
  <r>
    <s v="TX501050"/>
    <x v="6"/>
    <x v="0"/>
    <n v="84.2"/>
    <n v="84.2"/>
    <d v="2025-02-11T00:00:00"/>
    <d v="2025-02-13T00:00:00"/>
    <x v="1"/>
    <x v="3"/>
    <x v="0"/>
    <x v="0"/>
    <x v="11"/>
    <x v="1"/>
    <x v="6"/>
    <x v="1"/>
  </r>
  <r>
    <s v="TX501051"/>
    <x v="11"/>
    <x v="12"/>
    <n v="52"/>
    <n v="208"/>
    <d v="2025-02-11T00:00:00"/>
    <d v="2025-02-14T00:00:00"/>
    <x v="1"/>
    <x v="0"/>
    <x v="0"/>
    <x v="0"/>
    <x v="11"/>
    <x v="2"/>
    <x v="6"/>
    <x v="1"/>
  </r>
  <r>
    <s v="TX501052"/>
    <x v="4"/>
    <x v="9"/>
    <n v="31.5"/>
    <n v="157.5"/>
    <d v="2025-02-11T00:00:00"/>
    <d v="2025-02-12T00:00:00"/>
    <x v="2"/>
    <x v="0"/>
    <x v="2"/>
    <x v="0"/>
    <x v="11"/>
    <x v="3"/>
    <x v="6"/>
    <x v="2"/>
  </r>
  <r>
    <s v="TX501053"/>
    <x v="16"/>
    <x v="2"/>
    <n v="46.2"/>
    <n v="138.60000000000002"/>
    <d v="2025-02-11T00:00:00"/>
    <d v="2025-02-12T00:00:00"/>
    <x v="1"/>
    <x v="0"/>
    <x v="0"/>
    <x v="0"/>
    <x v="53"/>
    <x v="3"/>
    <x v="6"/>
    <x v="1"/>
  </r>
  <r>
    <s v="TX501054"/>
    <x v="2"/>
    <x v="13"/>
    <n v="135"/>
    <n v="810"/>
    <d v="2025-02-11T00:00:00"/>
    <d v="2025-02-12T00:00:00"/>
    <x v="2"/>
    <x v="1"/>
    <x v="2"/>
    <x v="0"/>
    <x v="18"/>
    <x v="3"/>
    <x v="6"/>
    <x v="2"/>
  </r>
  <r>
    <s v="TX501055"/>
    <x v="12"/>
    <x v="2"/>
    <n v="92.2"/>
    <n v="276.60000000000002"/>
    <d v="2025-02-11T00:00:00"/>
    <d v="2025-02-15T00:00:00"/>
    <x v="1"/>
    <x v="0"/>
    <x v="0"/>
    <x v="0"/>
    <x v="21"/>
    <x v="5"/>
    <x v="6"/>
    <x v="1"/>
  </r>
  <r>
    <s v="TX501056"/>
    <x v="8"/>
    <x v="0"/>
    <n v="36.6"/>
    <n v="36.6"/>
    <d v="2025-02-11T00:00:00"/>
    <d v="2025-02-13T00:00:00"/>
    <x v="1"/>
    <x v="2"/>
    <x v="2"/>
    <x v="0"/>
    <x v="21"/>
    <x v="1"/>
    <x v="6"/>
    <x v="1"/>
  </r>
  <r>
    <s v="TX501057"/>
    <x v="9"/>
    <x v="1"/>
    <n v="50.6"/>
    <n v="101.2"/>
    <d v="2025-02-11T00:00:00"/>
    <d v="2025-02-14T00:00:00"/>
    <x v="2"/>
    <x v="0"/>
    <x v="0"/>
    <x v="0"/>
    <x v="2"/>
    <x v="2"/>
    <x v="6"/>
    <x v="2"/>
  </r>
  <r>
    <s v="TX501058"/>
    <x v="18"/>
    <x v="3"/>
    <n v="56.7"/>
    <n v="396.90000000000003"/>
    <d v="2025-02-11T00:00:00"/>
    <d v="2025-02-14T00:00:00"/>
    <x v="2"/>
    <x v="0"/>
    <x v="0"/>
    <x v="0"/>
    <x v="2"/>
    <x v="2"/>
    <x v="6"/>
    <x v="2"/>
  </r>
  <r>
    <s v="TX501059"/>
    <x v="9"/>
    <x v="15"/>
    <n v="22.9"/>
    <n v="297.7"/>
    <d v="2025-02-11T00:00:00"/>
    <d v="2025-02-12T00:00:00"/>
    <x v="2"/>
    <x v="0"/>
    <x v="1"/>
    <x v="0"/>
    <x v="44"/>
    <x v="3"/>
    <x v="6"/>
    <x v="2"/>
  </r>
  <r>
    <s v="TX501060"/>
    <x v="15"/>
    <x v="10"/>
    <n v="53.6"/>
    <n v="1018.4"/>
    <d v="2025-02-11T00:00:00"/>
    <d v="2025-02-12T00:00:00"/>
    <x v="1"/>
    <x v="0"/>
    <x v="0"/>
    <x v="0"/>
    <x v="22"/>
    <x v="3"/>
    <x v="6"/>
    <x v="1"/>
  </r>
  <r>
    <s v="TX501061"/>
    <x v="18"/>
    <x v="1"/>
    <n v="30.2"/>
    <n v="60.4"/>
    <d v="2025-02-11T00:00:00"/>
    <d v="2025-02-13T00:00:00"/>
    <x v="0"/>
    <x v="2"/>
    <x v="2"/>
    <x v="0"/>
    <x v="3"/>
    <x v="1"/>
    <x v="6"/>
    <x v="0"/>
  </r>
  <r>
    <s v="TX501062"/>
    <x v="15"/>
    <x v="13"/>
    <n v="83.4"/>
    <n v="500.40000000000003"/>
    <d v="2025-02-11T00:00:00"/>
    <d v="2025-02-12T00:00:00"/>
    <x v="1"/>
    <x v="1"/>
    <x v="2"/>
    <x v="0"/>
    <x v="3"/>
    <x v="3"/>
    <x v="6"/>
    <x v="1"/>
  </r>
  <r>
    <s v="TX501063"/>
    <x v="13"/>
    <x v="4"/>
    <n v="16.600000000000001"/>
    <n v="199.20000000000002"/>
    <d v="2025-02-11T00:00:00"/>
    <d v="2025-02-13T00:00:00"/>
    <x v="1"/>
    <x v="1"/>
    <x v="0"/>
    <x v="0"/>
    <x v="3"/>
    <x v="1"/>
    <x v="6"/>
    <x v="1"/>
  </r>
  <r>
    <s v="TX501064"/>
    <x v="8"/>
    <x v="14"/>
    <n v="21.9"/>
    <n v="372.29999999999995"/>
    <d v="2025-02-11T00:00:00"/>
    <d v="2025-02-13T00:00:00"/>
    <x v="2"/>
    <x v="4"/>
    <x v="1"/>
    <x v="0"/>
    <x v="3"/>
    <x v="1"/>
    <x v="6"/>
    <x v="2"/>
  </r>
  <r>
    <s v="TX501065"/>
    <x v="8"/>
    <x v="31"/>
    <n v="33.799999999999997"/>
    <n v="946.39999999999986"/>
    <d v="2025-02-11T00:00:00"/>
    <d v="2025-02-13T00:00:00"/>
    <x v="1"/>
    <x v="2"/>
    <x v="4"/>
    <x v="0"/>
    <x v="3"/>
    <x v="1"/>
    <x v="6"/>
    <x v="1"/>
  </r>
  <r>
    <s v="TX501066"/>
    <x v="18"/>
    <x v="1"/>
    <n v="53.2"/>
    <n v="106.4"/>
    <d v="2025-02-11T00:00:00"/>
    <d v="2025-02-11T00:00:00"/>
    <x v="1"/>
    <x v="1"/>
    <x v="0"/>
    <x v="0"/>
    <x v="3"/>
    <x v="7"/>
    <x v="6"/>
    <x v="1"/>
  </r>
  <r>
    <s v="TX501067"/>
    <x v="2"/>
    <x v="1"/>
    <n v="176.7"/>
    <n v="353.4"/>
    <d v="2025-02-11T00:00:00"/>
    <d v="2025-02-14T00:00:00"/>
    <x v="2"/>
    <x v="2"/>
    <x v="0"/>
    <x v="0"/>
    <x v="3"/>
    <x v="2"/>
    <x v="6"/>
    <x v="2"/>
  </r>
  <r>
    <s v="TX501068"/>
    <x v="12"/>
    <x v="2"/>
    <n v="54"/>
    <n v="162"/>
    <d v="2025-02-11T00:00:00"/>
    <d v="2025-02-14T00:00:00"/>
    <x v="1"/>
    <x v="0"/>
    <x v="1"/>
    <x v="0"/>
    <x v="3"/>
    <x v="2"/>
    <x v="6"/>
    <x v="1"/>
  </r>
  <r>
    <s v="TX501069"/>
    <x v="9"/>
    <x v="1"/>
    <n v="70.099999999999994"/>
    <n v="140.19999999999999"/>
    <d v="2025-02-11T00:00:00"/>
    <d v="2025-02-19T00:00:00"/>
    <x v="2"/>
    <x v="3"/>
    <x v="2"/>
    <x v="0"/>
    <x v="3"/>
    <x v="9"/>
    <x v="6"/>
    <x v="2"/>
  </r>
  <r>
    <s v="TX501070"/>
    <x v="8"/>
    <x v="0"/>
    <n v="26.5"/>
    <n v="26.5"/>
    <d v="2025-02-11T00:00:00"/>
    <d v="2025-02-13T00:00:00"/>
    <x v="2"/>
    <x v="1"/>
    <x v="0"/>
    <x v="0"/>
    <x v="3"/>
    <x v="1"/>
    <x v="6"/>
    <x v="2"/>
  </r>
  <r>
    <s v="TX501071"/>
    <x v="7"/>
    <x v="9"/>
    <n v="89"/>
    <n v="445"/>
    <d v="2025-02-11T00:00:00"/>
    <d v="2025-02-13T00:00:00"/>
    <x v="1"/>
    <x v="2"/>
    <x v="4"/>
    <x v="0"/>
    <x v="3"/>
    <x v="1"/>
    <x v="6"/>
    <x v="1"/>
  </r>
  <r>
    <s v="TX501072"/>
    <x v="1"/>
    <x v="13"/>
    <n v="47"/>
    <n v="282"/>
    <d v="2025-02-11T00:00:00"/>
    <d v="2025-02-14T00:00:00"/>
    <x v="2"/>
    <x v="3"/>
    <x v="0"/>
    <x v="0"/>
    <x v="24"/>
    <x v="2"/>
    <x v="6"/>
    <x v="2"/>
  </r>
  <r>
    <s v="TX501073"/>
    <x v="3"/>
    <x v="1"/>
    <n v="55.2"/>
    <n v="110.4"/>
    <d v="2025-02-11T00:00:00"/>
    <d v="2025-02-14T00:00:00"/>
    <x v="1"/>
    <x v="1"/>
    <x v="1"/>
    <x v="0"/>
    <x v="6"/>
    <x v="2"/>
    <x v="6"/>
    <x v="1"/>
  </r>
  <r>
    <s v="TX501074"/>
    <x v="8"/>
    <x v="39"/>
    <n v="33.299999999999997"/>
    <n v="1398.6"/>
    <d v="2025-02-11T00:00:00"/>
    <d v="2025-02-25T00:00:00"/>
    <x v="1"/>
    <x v="1"/>
    <x v="2"/>
    <x v="0"/>
    <x v="6"/>
    <x v="12"/>
    <x v="6"/>
    <x v="1"/>
  </r>
  <r>
    <s v="TX501075"/>
    <x v="2"/>
    <x v="12"/>
    <n v="110.9"/>
    <n v="443.6"/>
    <d v="2025-02-12T00:00:00"/>
    <d v="2025-02-12T00:00:00"/>
    <x v="1"/>
    <x v="2"/>
    <x v="4"/>
    <x v="0"/>
    <x v="6"/>
    <x v="7"/>
    <x v="6"/>
    <x v="1"/>
  </r>
  <r>
    <s v="TX501076"/>
    <x v="2"/>
    <x v="13"/>
    <n v="67.3"/>
    <n v="403.79999999999995"/>
    <d v="2025-02-12T00:00:00"/>
    <d v="2025-02-13T00:00:00"/>
    <x v="1"/>
    <x v="0"/>
    <x v="0"/>
    <x v="0"/>
    <x v="8"/>
    <x v="3"/>
    <x v="6"/>
    <x v="1"/>
  </r>
  <r>
    <s v="TX501077"/>
    <x v="6"/>
    <x v="2"/>
    <n v="69.7"/>
    <n v="209.10000000000002"/>
    <d v="2025-02-12T00:00:00"/>
    <d v="2025-02-13T00:00:00"/>
    <x v="1"/>
    <x v="2"/>
    <x v="1"/>
    <x v="0"/>
    <x v="8"/>
    <x v="3"/>
    <x v="6"/>
    <x v="1"/>
  </r>
  <r>
    <s v="TX501078"/>
    <x v="5"/>
    <x v="0"/>
    <n v="39.1"/>
    <n v="39.1"/>
    <d v="2025-02-12T00:00:00"/>
    <d v="2025-02-17T00:00:00"/>
    <x v="1"/>
    <x v="0"/>
    <x v="1"/>
    <x v="0"/>
    <x v="17"/>
    <x v="0"/>
    <x v="6"/>
    <x v="1"/>
  </r>
  <r>
    <s v="TX501079"/>
    <x v="2"/>
    <x v="2"/>
    <n v="208.6"/>
    <n v="625.79999999999995"/>
    <d v="2025-02-12T00:00:00"/>
    <d v="2025-02-12T00:00:00"/>
    <x v="1"/>
    <x v="4"/>
    <x v="2"/>
    <x v="0"/>
    <x v="17"/>
    <x v="7"/>
    <x v="6"/>
    <x v="1"/>
  </r>
  <r>
    <s v="TX501080"/>
    <x v="15"/>
    <x v="2"/>
    <n v="27.8"/>
    <n v="83.4"/>
    <d v="2025-02-12T00:00:00"/>
    <d v="2025-02-13T00:00:00"/>
    <x v="1"/>
    <x v="3"/>
    <x v="1"/>
    <x v="0"/>
    <x v="11"/>
    <x v="3"/>
    <x v="6"/>
    <x v="1"/>
  </r>
  <r>
    <s v="TX501081"/>
    <x v="10"/>
    <x v="9"/>
    <n v="29.4"/>
    <n v="147"/>
    <d v="2025-02-12T00:00:00"/>
    <d v="2025-02-14T00:00:00"/>
    <x v="2"/>
    <x v="0"/>
    <x v="0"/>
    <x v="0"/>
    <x v="11"/>
    <x v="1"/>
    <x v="6"/>
    <x v="2"/>
  </r>
  <r>
    <s v="TX501082"/>
    <x v="9"/>
    <x v="1"/>
    <n v="29.2"/>
    <n v="58.4"/>
    <d v="2025-02-12T00:00:00"/>
    <d v="2025-02-14T00:00:00"/>
    <x v="2"/>
    <x v="1"/>
    <x v="2"/>
    <x v="0"/>
    <x v="20"/>
    <x v="1"/>
    <x v="6"/>
    <x v="2"/>
  </r>
  <r>
    <s v="TX501083"/>
    <x v="10"/>
    <x v="9"/>
    <n v="26.5"/>
    <n v="132.5"/>
    <d v="2025-02-12T00:00:00"/>
    <d v="2025-02-14T00:00:00"/>
    <x v="2"/>
    <x v="0"/>
    <x v="0"/>
    <x v="0"/>
    <x v="52"/>
    <x v="1"/>
    <x v="6"/>
    <x v="2"/>
  </r>
  <r>
    <s v="TX501084"/>
    <x v="5"/>
    <x v="0"/>
    <n v="30.3"/>
    <n v="30.3"/>
    <d v="2025-02-12T00:00:00"/>
    <d v="2025-02-13T00:00:00"/>
    <x v="2"/>
    <x v="4"/>
    <x v="1"/>
    <x v="0"/>
    <x v="13"/>
    <x v="3"/>
    <x v="6"/>
    <x v="2"/>
  </r>
  <r>
    <s v="TX501085"/>
    <x v="16"/>
    <x v="4"/>
    <n v="39.700000000000003"/>
    <n v="476.40000000000003"/>
    <d v="2025-02-12T00:00:00"/>
    <d v="2025-02-13T00:00:00"/>
    <x v="2"/>
    <x v="0"/>
    <x v="0"/>
    <x v="0"/>
    <x v="21"/>
    <x v="3"/>
    <x v="6"/>
    <x v="2"/>
  </r>
  <r>
    <s v="TX501086"/>
    <x v="7"/>
    <x v="7"/>
    <n v="58.9"/>
    <n v="589"/>
    <d v="2025-02-12T00:00:00"/>
    <d v="2025-02-14T00:00:00"/>
    <x v="2"/>
    <x v="1"/>
    <x v="4"/>
    <x v="0"/>
    <x v="21"/>
    <x v="1"/>
    <x v="6"/>
    <x v="2"/>
  </r>
  <r>
    <s v="TX501087"/>
    <x v="2"/>
    <x v="1"/>
    <n v="174.1"/>
    <n v="348.2"/>
    <d v="2025-02-12T00:00:00"/>
    <d v="2025-02-14T00:00:00"/>
    <x v="2"/>
    <x v="0"/>
    <x v="1"/>
    <x v="0"/>
    <x v="46"/>
    <x v="1"/>
    <x v="6"/>
    <x v="2"/>
  </r>
  <r>
    <s v="TX501088"/>
    <x v="6"/>
    <x v="1"/>
    <n v="70.8"/>
    <n v="141.6"/>
    <d v="2025-02-12T00:00:00"/>
    <d v="2025-02-15T00:00:00"/>
    <x v="1"/>
    <x v="2"/>
    <x v="0"/>
    <x v="0"/>
    <x v="22"/>
    <x v="2"/>
    <x v="6"/>
    <x v="1"/>
  </r>
  <r>
    <s v="TX501089"/>
    <x v="7"/>
    <x v="1"/>
    <n v="57.4"/>
    <n v="114.8"/>
    <d v="2025-02-12T00:00:00"/>
    <d v="2025-02-14T00:00:00"/>
    <x v="2"/>
    <x v="1"/>
    <x v="1"/>
    <x v="0"/>
    <x v="34"/>
    <x v="1"/>
    <x v="6"/>
    <x v="2"/>
  </r>
  <r>
    <s v="TX501090"/>
    <x v="0"/>
    <x v="1"/>
    <n v="28.5"/>
    <n v="57"/>
    <d v="2025-02-12T00:00:00"/>
    <d v="2025-02-14T00:00:00"/>
    <x v="1"/>
    <x v="3"/>
    <x v="1"/>
    <x v="0"/>
    <x v="3"/>
    <x v="1"/>
    <x v="6"/>
    <x v="1"/>
  </r>
  <r>
    <s v="TX501091"/>
    <x v="2"/>
    <x v="28"/>
    <n v="106.6"/>
    <n v="2132"/>
    <d v="2025-02-12T00:00:00"/>
    <d v="2025-02-13T00:00:00"/>
    <x v="0"/>
    <x v="1"/>
    <x v="4"/>
    <x v="0"/>
    <x v="3"/>
    <x v="3"/>
    <x v="6"/>
    <x v="0"/>
  </r>
  <r>
    <s v="TX501092"/>
    <x v="2"/>
    <x v="2"/>
    <n v="119.7"/>
    <n v="359.1"/>
    <d v="2025-02-12T00:00:00"/>
    <d v="2025-02-13T00:00:00"/>
    <x v="2"/>
    <x v="1"/>
    <x v="4"/>
    <x v="0"/>
    <x v="3"/>
    <x v="3"/>
    <x v="6"/>
    <x v="2"/>
  </r>
  <r>
    <s v="TX501093"/>
    <x v="18"/>
    <x v="0"/>
    <n v="73.3"/>
    <n v="73.3"/>
    <d v="2025-02-12T00:00:00"/>
    <d v="2025-02-17T00:00:00"/>
    <x v="2"/>
    <x v="0"/>
    <x v="2"/>
    <x v="0"/>
    <x v="3"/>
    <x v="0"/>
    <x v="6"/>
    <x v="2"/>
  </r>
  <r>
    <s v="TX501094"/>
    <x v="0"/>
    <x v="1"/>
    <n v="25.8"/>
    <n v="51.6"/>
    <d v="2025-02-12T00:00:00"/>
    <d v="2025-02-26T00:00:00"/>
    <x v="1"/>
    <x v="2"/>
    <x v="0"/>
    <x v="0"/>
    <x v="3"/>
    <x v="12"/>
    <x v="6"/>
    <x v="1"/>
  </r>
  <r>
    <s v="TX501095"/>
    <x v="17"/>
    <x v="2"/>
    <n v="49.1"/>
    <n v="147.30000000000001"/>
    <d v="2025-02-12T00:00:00"/>
    <d v="2025-02-14T00:00:00"/>
    <x v="2"/>
    <x v="0"/>
    <x v="0"/>
    <x v="0"/>
    <x v="24"/>
    <x v="1"/>
    <x v="6"/>
    <x v="2"/>
  </r>
  <r>
    <s v="TX501096"/>
    <x v="1"/>
    <x v="0"/>
    <n v="44.9"/>
    <n v="44.9"/>
    <d v="2025-02-12T00:00:00"/>
    <d v="2025-02-15T00:00:00"/>
    <x v="2"/>
    <x v="3"/>
    <x v="2"/>
    <x v="0"/>
    <x v="6"/>
    <x v="2"/>
    <x v="6"/>
    <x v="2"/>
  </r>
  <r>
    <s v="TX501097"/>
    <x v="15"/>
    <x v="3"/>
    <n v="29.9"/>
    <n v="209.29999999999998"/>
    <d v="2025-02-12T00:00:00"/>
    <d v="2025-02-13T00:00:00"/>
    <x v="2"/>
    <x v="0"/>
    <x v="0"/>
    <x v="0"/>
    <x v="6"/>
    <x v="3"/>
    <x v="6"/>
    <x v="2"/>
  </r>
  <r>
    <s v="TX501098"/>
    <x v="7"/>
    <x v="1"/>
    <n v="54.3"/>
    <n v="108.6"/>
    <d v="2025-02-13T00:00:00"/>
    <d v="2025-02-14T00:00:00"/>
    <x v="1"/>
    <x v="3"/>
    <x v="0"/>
    <x v="0"/>
    <x v="36"/>
    <x v="3"/>
    <x v="6"/>
    <x v="1"/>
  </r>
  <r>
    <s v="TX501099"/>
    <x v="9"/>
    <x v="12"/>
    <n v="57"/>
    <n v="228"/>
    <d v="2025-02-13T00:00:00"/>
    <d v="2025-02-15T00:00:00"/>
    <x v="2"/>
    <x v="0"/>
    <x v="0"/>
    <x v="0"/>
    <x v="8"/>
    <x v="1"/>
    <x v="6"/>
    <x v="2"/>
  </r>
  <r>
    <s v="TX501100"/>
    <x v="2"/>
    <x v="0"/>
    <n v="139.19999999999999"/>
    <n v="139.19999999999999"/>
    <d v="2025-02-13T00:00:00"/>
    <d v="2025-02-14T00:00:00"/>
    <x v="2"/>
    <x v="3"/>
    <x v="2"/>
    <x v="0"/>
    <x v="8"/>
    <x v="3"/>
    <x v="6"/>
    <x v="2"/>
  </r>
  <r>
    <s v="TX501101"/>
    <x v="10"/>
    <x v="0"/>
    <n v="33"/>
    <n v="33"/>
    <d v="2025-02-13T00:00:00"/>
    <d v="2025-02-16T00:00:00"/>
    <x v="2"/>
    <x v="0"/>
    <x v="2"/>
    <x v="0"/>
    <x v="8"/>
    <x v="2"/>
    <x v="6"/>
    <x v="2"/>
  </r>
  <r>
    <s v="TX501102"/>
    <x v="11"/>
    <x v="13"/>
    <n v="80.2"/>
    <n v="481.20000000000005"/>
    <d v="2025-02-13T00:00:00"/>
    <d v="2025-02-15T00:00:00"/>
    <x v="1"/>
    <x v="1"/>
    <x v="4"/>
    <x v="0"/>
    <x v="8"/>
    <x v="1"/>
    <x v="6"/>
    <x v="1"/>
  </r>
  <r>
    <s v="TX501103"/>
    <x v="18"/>
    <x v="8"/>
    <n v="49"/>
    <n v="392"/>
    <d v="2025-02-13T00:00:00"/>
    <d v="2025-02-14T00:00:00"/>
    <x v="0"/>
    <x v="2"/>
    <x v="1"/>
    <x v="0"/>
    <x v="9"/>
    <x v="3"/>
    <x v="6"/>
    <x v="0"/>
  </r>
  <r>
    <s v="TX501104"/>
    <x v="1"/>
    <x v="12"/>
    <n v="104.4"/>
    <n v="417.6"/>
    <d v="2025-02-13T00:00:00"/>
    <d v="2025-02-13T00:00:00"/>
    <x v="2"/>
    <x v="0"/>
    <x v="0"/>
    <x v="0"/>
    <x v="9"/>
    <x v="7"/>
    <x v="6"/>
    <x v="2"/>
  </r>
  <r>
    <s v="TX501105"/>
    <x v="3"/>
    <x v="0"/>
    <n v="41.6"/>
    <n v="41.6"/>
    <d v="2025-02-13T00:00:00"/>
    <d v="2025-02-16T00:00:00"/>
    <x v="1"/>
    <x v="3"/>
    <x v="0"/>
    <x v="0"/>
    <x v="11"/>
    <x v="2"/>
    <x v="6"/>
    <x v="1"/>
  </r>
  <r>
    <s v="TX501106"/>
    <x v="19"/>
    <x v="1"/>
    <n v="16.399999999999999"/>
    <n v="32.799999999999997"/>
    <d v="2025-02-13T00:00:00"/>
    <d v="2025-02-14T00:00:00"/>
    <x v="3"/>
    <x v="0"/>
    <x v="2"/>
    <x v="0"/>
    <x v="11"/>
    <x v="3"/>
    <x v="6"/>
    <x v="3"/>
  </r>
  <r>
    <s v="TX501107"/>
    <x v="8"/>
    <x v="1"/>
    <n v="22"/>
    <n v="44"/>
    <d v="2025-02-13T00:00:00"/>
    <d v="2025-02-14T00:00:00"/>
    <x v="1"/>
    <x v="2"/>
    <x v="2"/>
    <x v="0"/>
    <x v="53"/>
    <x v="3"/>
    <x v="6"/>
    <x v="1"/>
  </r>
  <r>
    <s v="TX501108"/>
    <x v="15"/>
    <x v="1"/>
    <n v="33.6"/>
    <n v="67.2"/>
    <d v="2025-02-13T00:00:00"/>
    <d v="2025-02-18T00:00:00"/>
    <x v="2"/>
    <x v="0"/>
    <x v="0"/>
    <x v="0"/>
    <x v="21"/>
    <x v="0"/>
    <x v="6"/>
    <x v="2"/>
  </r>
  <r>
    <s v="TX501109"/>
    <x v="11"/>
    <x v="13"/>
    <n v="43"/>
    <n v="258"/>
    <d v="2025-02-13T00:00:00"/>
    <d v="2025-02-14T00:00:00"/>
    <x v="2"/>
    <x v="2"/>
    <x v="0"/>
    <x v="0"/>
    <x v="21"/>
    <x v="3"/>
    <x v="6"/>
    <x v="2"/>
  </r>
  <r>
    <s v="TX501110"/>
    <x v="6"/>
    <x v="9"/>
    <n v="108.8"/>
    <n v="544"/>
    <d v="2025-02-13T00:00:00"/>
    <d v="2025-02-16T00:00:00"/>
    <x v="2"/>
    <x v="4"/>
    <x v="2"/>
    <x v="0"/>
    <x v="21"/>
    <x v="2"/>
    <x v="6"/>
    <x v="2"/>
  </r>
  <r>
    <s v="TX501111"/>
    <x v="0"/>
    <x v="11"/>
    <n v="29.3"/>
    <n v="263.7"/>
    <d v="2025-02-13T00:00:00"/>
    <d v="2025-02-15T00:00:00"/>
    <x v="1"/>
    <x v="4"/>
    <x v="2"/>
    <x v="0"/>
    <x v="21"/>
    <x v="1"/>
    <x v="6"/>
    <x v="1"/>
  </r>
  <r>
    <s v="TX501112"/>
    <x v="2"/>
    <x v="0"/>
    <n v="122.7"/>
    <n v="122.7"/>
    <d v="2025-02-13T00:00:00"/>
    <d v="2025-02-16T00:00:00"/>
    <x v="3"/>
    <x v="0"/>
    <x v="2"/>
    <x v="0"/>
    <x v="1"/>
    <x v="2"/>
    <x v="6"/>
    <x v="3"/>
  </r>
  <r>
    <s v="TX501113"/>
    <x v="4"/>
    <x v="3"/>
    <n v="22.9"/>
    <n v="160.29999999999998"/>
    <d v="2025-02-13T00:00:00"/>
    <d v="2025-02-14T00:00:00"/>
    <x v="2"/>
    <x v="0"/>
    <x v="0"/>
    <x v="0"/>
    <x v="42"/>
    <x v="3"/>
    <x v="6"/>
    <x v="2"/>
  </r>
  <r>
    <s v="TX501114"/>
    <x v="8"/>
    <x v="7"/>
    <n v="25.5"/>
    <n v="255"/>
    <d v="2025-02-13T00:00:00"/>
    <d v="2025-02-20T00:00:00"/>
    <x v="2"/>
    <x v="0"/>
    <x v="0"/>
    <x v="0"/>
    <x v="33"/>
    <x v="6"/>
    <x v="6"/>
    <x v="2"/>
  </r>
  <r>
    <s v="TX501115"/>
    <x v="17"/>
    <x v="2"/>
    <n v="23.4"/>
    <n v="70.199999999999989"/>
    <d v="2025-02-13T00:00:00"/>
    <d v="2025-02-17T00:00:00"/>
    <x v="2"/>
    <x v="0"/>
    <x v="2"/>
    <x v="0"/>
    <x v="3"/>
    <x v="5"/>
    <x v="6"/>
    <x v="2"/>
  </r>
  <r>
    <s v="TX501116"/>
    <x v="5"/>
    <x v="8"/>
    <n v="27.4"/>
    <n v="219.2"/>
    <d v="2025-02-13T00:00:00"/>
    <d v="2025-02-16T00:00:00"/>
    <x v="2"/>
    <x v="2"/>
    <x v="0"/>
    <x v="0"/>
    <x v="3"/>
    <x v="2"/>
    <x v="6"/>
    <x v="2"/>
  </r>
  <r>
    <s v="TX501117"/>
    <x v="5"/>
    <x v="9"/>
    <n v="68.400000000000006"/>
    <n v="342"/>
    <d v="2025-02-13T00:00:00"/>
    <d v="2025-02-14T00:00:00"/>
    <x v="2"/>
    <x v="0"/>
    <x v="0"/>
    <x v="0"/>
    <x v="3"/>
    <x v="3"/>
    <x v="6"/>
    <x v="2"/>
  </r>
  <r>
    <s v="TX501118"/>
    <x v="6"/>
    <x v="0"/>
    <n v="51.9"/>
    <n v="51.9"/>
    <d v="2025-02-13T00:00:00"/>
    <d v="2025-02-13T00:00:00"/>
    <x v="2"/>
    <x v="0"/>
    <x v="0"/>
    <x v="0"/>
    <x v="3"/>
    <x v="7"/>
    <x v="6"/>
    <x v="2"/>
  </r>
  <r>
    <s v="TX501119"/>
    <x v="0"/>
    <x v="9"/>
    <n v="26.4"/>
    <n v="132"/>
    <d v="2025-02-13T00:00:00"/>
    <d v="2025-02-16T00:00:00"/>
    <x v="2"/>
    <x v="0"/>
    <x v="2"/>
    <x v="0"/>
    <x v="3"/>
    <x v="2"/>
    <x v="6"/>
    <x v="2"/>
  </r>
  <r>
    <s v="TX501120"/>
    <x v="12"/>
    <x v="1"/>
    <n v="117"/>
    <n v="234"/>
    <d v="2025-02-13T00:00:00"/>
    <d v="2025-02-14T00:00:00"/>
    <x v="2"/>
    <x v="1"/>
    <x v="1"/>
    <x v="0"/>
    <x v="3"/>
    <x v="3"/>
    <x v="6"/>
    <x v="2"/>
  </r>
  <r>
    <s v="TX501121"/>
    <x v="7"/>
    <x v="2"/>
    <n v="49.6"/>
    <n v="148.80000000000001"/>
    <d v="2025-02-14T00:00:00"/>
    <d v="2025-02-16T00:00:00"/>
    <x v="2"/>
    <x v="0"/>
    <x v="0"/>
    <x v="0"/>
    <x v="3"/>
    <x v="1"/>
    <x v="6"/>
    <x v="2"/>
  </r>
  <r>
    <s v="TX501122"/>
    <x v="4"/>
    <x v="2"/>
    <n v="38"/>
    <n v="114"/>
    <d v="2025-02-14T00:00:00"/>
    <d v="2025-02-17T00:00:00"/>
    <x v="1"/>
    <x v="2"/>
    <x v="4"/>
    <x v="0"/>
    <x v="3"/>
    <x v="2"/>
    <x v="6"/>
    <x v="1"/>
  </r>
  <r>
    <s v="TX501123"/>
    <x v="0"/>
    <x v="2"/>
    <n v="20.6"/>
    <n v="61.800000000000004"/>
    <d v="2025-02-14T00:00:00"/>
    <d v="2025-02-16T00:00:00"/>
    <x v="2"/>
    <x v="4"/>
    <x v="2"/>
    <x v="0"/>
    <x v="3"/>
    <x v="1"/>
    <x v="6"/>
    <x v="2"/>
  </r>
  <r>
    <s v="TX501124"/>
    <x v="0"/>
    <x v="1"/>
    <n v="16"/>
    <n v="32"/>
    <d v="2025-02-14T00:00:00"/>
    <d v="2025-02-15T00:00:00"/>
    <x v="1"/>
    <x v="1"/>
    <x v="1"/>
    <x v="0"/>
    <x v="49"/>
    <x v="3"/>
    <x v="6"/>
    <x v="1"/>
  </r>
  <r>
    <s v="TX501125"/>
    <x v="15"/>
    <x v="12"/>
    <n v="49.3"/>
    <n v="197.2"/>
    <d v="2025-02-14T00:00:00"/>
    <d v="2025-02-15T00:00:00"/>
    <x v="2"/>
    <x v="2"/>
    <x v="0"/>
    <x v="0"/>
    <x v="23"/>
    <x v="3"/>
    <x v="6"/>
    <x v="2"/>
  </r>
  <r>
    <s v="TX501126"/>
    <x v="9"/>
    <x v="1"/>
    <n v="24.1"/>
    <n v="48.2"/>
    <d v="2025-02-14T00:00:00"/>
    <d v="2025-02-18T00:00:00"/>
    <x v="2"/>
    <x v="0"/>
    <x v="0"/>
    <x v="0"/>
    <x v="6"/>
    <x v="5"/>
    <x v="6"/>
    <x v="2"/>
  </r>
  <r>
    <s v="TX501127"/>
    <x v="15"/>
    <x v="8"/>
    <n v="32.700000000000003"/>
    <n v="261.60000000000002"/>
    <d v="2025-02-14T00:00:00"/>
    <d v="2025-02-15T00:00:00"/>
    <x v="2"/>
    <x v="1"/>
    <x v="0"/>
    <x v="0"/>
    <x v="6"/>
    <x v="3"/>
    <x v="6"/>
    <x v="2"/>
  </r>
  <r>
    <s v="TX501128"/>
    <x v="6"/>
    <x v="2"/>
    <n v="74.400000000000006"/>
    <n v="223.20000000000002"/>
    <d v="2025-02-14T00:00:00"/>
    <d v="2025-02-15T00:00:00"/>
    <x v="2"/>
    <x v="3"/>
    <x v="2"/>
    <x v="0"/>
    <x v="8"/>
    <x v="3"/>
    <x v="6"/>
    <x v="2"/>
  </r>
  <r>
    <s v="TX501129"/>
    <x v="12"/>
    <x v="0"/>
    <n v="45.6"/>
    <n v="45.6"/>
    <d v="2025-02-14T00:00:00"/>
    <d v="2025-02-18T00:00:00"/>
    <x v="2"/>
    <x v="4"/>
    <x v="0"/>
    <x v="0"/>
    <x v="8"/>
    <x v="5"/>
    <x v="6"/>
    <x v="2"/>
  </r>
  <r>
    <s v="TX501130"/>
    <x v="8"/>
    <x v="8"/>
    <n v="19.600000000000001"/>
    <n v="156.80000000000001"/>
    <d v="2025-02-14T00:00:00"/>
    <d v="2025-02-27T00:00:00"/>
    <x v="2"/>
    <x v="0"/>
    <x v="0"/>
    <x v="0"/>
    <x v="8"/>
    <x v="10"/>
    <x v="6"/>
    <x v="2"/>
  </r>
  <r>
    <s v="TX501131"/>
    <x v="9"/>
    <x v="0"/>
    <n v="51.8"/>
    <n v="51.8"/>
    <d v="2025-02-14T00:00:00"/>
    <d v="2025-02-15T00:00:00"/>
    <x v="2"/>
    <x v="1"/>
    <x v="0"/>
    <x v="0"/>
    <x v="8"/>
    <x v="3"/>
    <x v="6"/>
    <x v="2"/>
  </r>
  <r>
    <s v="TX501132"/>
    <x v="6"/>
    <x v="0"/>
    <n v="74.7"/>
    <n v="74.7"/>
    <d v="2025-02-14T00:00:00"/>
    <d v="2025-02-15T00:00:00"/>
    <x v="1"/>
    <x v="0"/>
    <x v="1"/>
    <x v="0"/>
    <x v="8"/>
    <x v="3"/>
    <x v="6"/>
    <x v="1"/>
  </r>
  <r>
    <s v="TX501133"/>
    <x v="19"/>
    <x v="2"/>
    <n v="22.4"/>
    <n v="67.199999999999989"/>
    <d v="2025-02-14T00:00:00"/>
    <d v="2025-02-15T00:00:00"/>
    <x v="2"/>
    <x v="1"/>
    <x v="2"/>
    <x v="0"/>
    <x v="9"/>
    <x v="3"/>
    <x v="6"/>
    <x v="2"/>
  </r>
  <r>
    <s v="TX501134"/>
    <x v="1"/>
    <x v="12"/>
    <n v="31.4"/>
    <n v="125.6"/>
    <d v="2025-02-14T00:00:00"/>
    <d v="2025-02-15T00:00:00"/>
    <x v="2"/>
    <x v="1"/>
    <x v="0"/>
    <x v="0"/>
    <x v="9"/>
    <x v="3"/>
    <x v="6"/>
    <x v="2"/>
  </r>
  <r>
    <s v="TX501135"/>
    <x v="6"/>
    <x v="0"/>
    <n v="94"/>
    <n v="94"/>
    <d v="2025-02-14T00:00:00"/>
    <d v="2025-02-14T00:00:00"/>
    <x v="2"/>
    <x v="1"/>
    <x v="2"/>
    <x v="0"/>
    <x v="10"/>
    <x v="7"/>
    <x v="6"/>
    <x v="2"/>
  </r>
  <r>
    <s v="TX501136"/>
    <x v="10"/>
    <x v="0"/>
    <n v="22.3"/>
    <n v="22.3"/>
    <d v="2025-02-14T00:00:00"/>
    <d v="2025-02-15T00:00:00"/>
    <x v="1"/>
    <x v="4"/>
    <x v="0"/>
    <x v="0"/>
    <x v="20"/>
    <x v="3"/>
    <x v="6"/>
    <x v="1"/>
  </r>
  <r>
    <s v="TX501137"/>
    <x v="0"/>
    <x v="0"/>
    <n v="21.9"/>
    <n v="21.9"/>
    <d v="2025-02-14T00:00:00"/>
    <d v="2025-02-17T00:00:00"/>
    <x v="2"/>
    <x v="2"/>
    <x v="0"/>
    <x v="0"/>
    <x v="21"/>
    <x v="2"/>
    <x v="6"/>
    <x v="2"/>
  </r>
  <r>
    <s v="TX501138"/>
    <x v="17"/>
    <x v="2"/>
    <n v="27"/>
    <n v="81"/>
    <d v="2025-02-14T00:00:00"/>
    <d v="2025-02-16T00:00:00"/>
    <x v="2"/>
    <x v="4"/>
    <x v="2"/>
    <x v="0"/>
    <x v="2"/>
    <x v="1"/>
    <x v="6"/>
    <x v="2"/>
  </r>
  <r>
    <s v="TX501139"/>
    <x v="2"/>
    <x v="12"/>
    <n v="149.6"/>
    <n v="598.4"/>
    <d v="2025-02-14T00:00:00"/>
    <d v="2025-02-14T00:00:00"/>
    <x v="2"/>
    <x v="4"/>
    <x v="0"/>
    <x v="0"/>
    <x v="22"/>
    <x v="7"/>
    <x v="6"/>
    <x v="2"/>
  </r>
  <r>
    <s v="TX501140"/>
    <x v="2"/>
    <x v="12"/>
    <n v="129.1"/>
    <n v="516.4"/>
    <d v="2025-02-14T00:00:00"/>
    <d v="2025-02-24T00:00:00"/>
    <x v="1"/>
    <x v="0"/>
    <x v="1"/>
    <x v="0"/>
    <x v="3"/>
    <x v="14"/>
    <x v="6"/>
    <x v="1"/>
  </r>
  <r>
    <s v="TX501141"/>
    <x v="1"/>
    <x v="4"/>
    <n v="40.4"/>
    <n v="484.79999999999995"/>
    <d v="2025-02-14T00:00:00"/>
    <d v="2025-02-15T00:00:00"/>
    <x v="1"/>
    <x v="1"/>
    <x v="1"/>
    <x v="0"/>
    <x v="3"/>
    <x v="3"/>
    <x v="6"/>
    <x v="1"/>
  </r>
  <r>
    <s v="TX501142"/>
    <x v="4"/>
    <x v="2"/>
    <n v="48.5"/>
    <n v="145.5"/>
    <d v="2025-02-14T00:00:00"/>
    <d v="2025-02-16T00:00:00"/>
    <x v="2"/>
    <x v="0"/>
    <x v="4"/>
    <x v="0"/>
    <x v="3"/>
    <x v="1"/>
    <x v="6"/>
    <x v="2"/>
  </r>
  <r>
    <s v="TX501143"/>
    <x v="9"/>
    <x v="1"/>
    <n v="37.6"/>
    <n v="75.2"/>
    <d v="2025-02-14T00:00:00"/>
    <d v="2025-02-16T00:00:00"/>
    <x v="2"/>
    <x v="1"/>
    <x v="2"/>
    <x v="0"/>
    <x v="3"/>
    <x v="1"/>
    <x v="6"/>
    <x v="2"/>
  </r>
  <r>
    <s v="TX501144"/>
    <x v="8"/>
    <x v="1"/>
    <n v="19.600000000000001"/>
    <n v="39.200000000000003"/>
    <d v="2025-02-14T00:00:00"/>
    <d v="2025-02-15T00:00:00"/>
    <x v="1"/>
    <x v="3"/>
    <x v="4"/>
    <x v="0"/>
    <x v="43"/>
    <x v="3"/>
    <x v="6"/>
    <x v="1"/>
  </r>
  <r>
    <s v="TX501145"/>
    <x v="8"/>
    <x v="9"/>
    <n v="18.5"/>
    <n v="92.5"/>
    <d v="2025-02-14T00:00:00"/>
    <d v="2025-02-15T00:00:00"/>
    <x v="2"/>
    <x v="2"/>
    <x v="1"/>
    <x v="0"/>
    <x v="6"/>
    <x v="3"/>
    <x v="6"/>
    <x v="2"/>
  </r>
  <r>
    <s v="TX501146"/>
    <x v="5"/>
    <x v="2"/>
    <n v="25.5"/>
    <n v="76.5"/>
    <d v="2025-02-14T00:00:00"/>
    <d v="2025-02-16T00:00:00"/>
    <x v="2"/>
    <x v="4"/>
    <x v="1"/>
    <x v="0"/>
    <x v="6"/>
    <x v="1"/>
    <x v="6"/>
    <x v="2"/>
  </r>
  <r>
    <s v="TX501147"/>
    <x v="2"/>
    <x v="1"/>
    <n v="94.7"/>
    <n v="189.4"/>
    <d v="2025-02-14T00:00:00"/>
    <d v="2025-02-15T00:00:00"/>
    <x v="2"/>
    <x v="2"/>
    <x v="0"/>
    <x v="0"/>
    <x v="36"/>
    <x v="3"/>
    <x v="6"/>
    <x v="2"/>
  </r>
  <r>
    <s v="TX501148"/>
    <x v="1"/>
    <x v="13"/>
    <n v="38.799999999999997"/>
    <n v="232.79999999999998"/>
    <d v="2025-02-14T00:00:00"/>
    <d v="2025-02-19T00:00:00"/>
    <x v="2"/>
    <x v="2"/>
    <x v="2"/>
    <x v="0"/>
    <x v="8"/>
    <x v="0"/>
    <x v="6"/>
    <x v="2"/>
  </r>
  <r>
    <s v="TX501149"/>
    <x v="9"/>
    <x v="1"/>
    <n v="49.4"/>
    <n v="98.8"/>
    <d v="2025-02-15T00:00:00"/>
    <d v="2025-02-23T00:00:00"/>
    <x v="1"/>
    <x v="4"/>
    <x v="1"/>
    <x v="0"/>
    <x v="8"/>
    <x v="9"/>
    <x v="6"/>
    <x v="1"/>
  </r>
  <r>
    <s v="TX501150"/>
    <x v="7"/>
    <x v="2"/>
    <n v="68"/>
    <n v="204"/>
    <d v="2025-02-15T00:00:00"/>
    <d v="2025-02-18T00:00:00"/>
    <x v="1"/>
    <x v="0"/>
    <x v="2"/>
    <x v="0"/>
    <x v="8"/>
    <x v="2"/>
    <x v="6"/>
    <x v="1"/>
  </r>
  <r>
    <s v="TX501151"/>
    <x v="15"/>
    <x v="3"/>
    <n v="63.7"/>
    <n v="445.90000000000003"/>
    <d v="2025-02-15T00:00:00"/>
    <d v="2025-02-16T00:00:00"/>
    <x v="2"/>
    <x v="2"/>
    <x v="2"/>
    <x v="0"/>
    <x v="8"/>
    <x v="3"/>
    <x v="6"/>
    <x v="2"/>
  </r>
  <r>
    <s v="TX501152"/>
    <x v="10"/>
    <x v="1"/>
    <n v="66.2"/>
    <n v="132.4"/>
    <d v="2025-02-15T00:00:00"/>
    <d v="2025-02-16T00:00:00"/>
    <x v="2"/>
    <x v="4"/>
    <x v="2"/>
    <x v="0"/>
    <x v="17"/>
    <x v="3"/>
    <x v="6"/>
    <x v="2"/>
  </r>
  <r>
    <s v="TX501153"/>
    <x v="12"/>
    <x v="2"/>
    <n v="32.299999999999997"/>
    <n v="96.899999999999991"/>
    <d v="2025-02-15T00:00:00"/>
    <d v="2025-02-16T00:00:00"/>
    <x v="3"/>
    <x v="2"/>
    <x v="1"/>
    <x v="0"/>
    <x v="9"/>
    <x v="3"/>
    <x v="6"/>
    <x v="3"/>
  </r>
  <r>
    <s v="TX501154"/>
    <x v="4"/>
    <x v="1"/>
    <n v="66.900000000000006"/>
    <n v="133.80000000000001"/>
    <d v="2025-02-15T00:00:00"/>
    <d v="2025-02-18T00:00:00"/>
    <x v="1"/>
    <x v="1"/>
    <x v="0"/>
    <x v="0"/>
    <x v="11"/>
    <x v="2"/>
    <x v="6"/>
    <x v="1"/>
  </r>
  <r>
    <s v="TX501155"/>
    <x v="4"/>
    <x v="4"/>
    <n v="25.2"/>
    <n v="302.39999999999998"/>
    <d v="2025-02-15T00:00:00"/>
    <d v="2025-02-19T00:00:00"/>
    <x v="2"/>
    <x v="0"/>
    <x v="1"/>
    <x v="0"/>
    <x v="11"/>
    <x v="5"/>
    <x v="6"/>
    <x v="2"/>
  </r>
  <r>
    <s v="TX501156"/>
    <x v="10"/>
    <x v="13"/>
    <n v="29.5"/>
    <n v="177"/>
    <d v="2025-02-15T00:00:00"/>
    <d v="2025-02-16T00:00:00"/>
    <x v="1"/>
    <x v="2"/>
    <x v="0"/>
    <x v="0"/>
    <x v="11"/>
    <x v="3"/>
    <x v="6"/>
    <x v="1"/>
  </r>
  <r>
    <s v="TX501157"/>
    <x v="8"/>
    <x v="9"/>
    <n v="21.6"/>
    <n v="108"/>
    <d v="2025-02-15T00:00:00"/>
    <d v="2025-02-17T00:00:00"/>
    <x v="2"/>
    <x v="0"/>
    <x v="2"/>
    <x v="0"/>
    <x v="32"/>
    <x v="1"/>
    <x v="6"/>
    <x v="2"/>
  </r>
  <r>
    <s v="TX501158"/>
    <x v="12"/>
    <x v="2"/>
    <n v="69"/>
    <n v="207"/>
    <d v="2025-02-15T00:00:00"/>
    <d v="2025-02-16T00:00:00"/>
    <x v="2"/>
    <x v="0"/>
    <x v="0"/>
    <x v="0"/>
    <x v="18"/>
    <x v="3"/>
    <x v="6"/>
    <x v="2"/>
  </r>
  <r>
    <s v="TX501159"/>
    <x v="7"/>
    <x v="1"/>
    <n v="115"/>
    <n v="230"/>
    <d v="2025-02-15T00:00:00"/>
    <d v="2025-02-19T00:00:00"/>
    <x v="1"/>
    <x v="0"/>
    <x v="2"/>
    <x v="0"/>
    <x v="18"/>
    <x v="5"/>
    <x v="6"/>
    <x v="1"/>
  </r>
  <r>
    <s v="TX501160"/>
    <x v="2"/>
    <x v="1"/>
    <n v="109.3"/>
    <n v="218.6"/>
    <d v="2025-02-15T00:00:00"/>
    <d v="2025-02-17T00:00:00"/>
    <x v="0"/>
    <x v="3"/>
    <x v="1"/>
    <x v="0"/>
    <x v="19"/>
    <x v="1"/>
    <x v="6"/>
    <x v="0"/>
  </r>
  <r>
    <s v="TX501161"/>
    <x v="9"/>
    <x v="1"/>
    <n v="66.599999999999994"/>
    <n v="133.19999999999999"/>
    <d v="2025-02-15T00:00:00"/>
    <d v="2025-02-18T00:00:00"/>
    <x v="0"/>
    <x v="4"/>
    <x v="1"/>
    <x v="0"/>
    <x v="19"/>
    <x v="2"/>
    <x v="6"/>
    <x v="0"/>
  </r>
  <r>
    <s v="TX501162"/>
    <x v="12"/>
    <x v="9"/>
    <n v="47.7"/>
    <n v="238.5"/>
    <d v="2025-02-15T00:00:00"/>
    <d v="2025-02-16T00:00:00"/>
    <x v="1"/>
    <x v="3"/>
    <x v="2"/>
    <x v="0"/>
    <x v="21"/>
    <x v="3"/>
    <x v="6"/>
    <x v="1"/>
  </r>
  <r>
    <s v="TX501163"/>
    <x v="8"/>
    <x v="1"/>
    <n v="46"/>
    <n v="92"/>
    <d v="2025-02-15T00:00:00"/>
    <d v="2025-02-16T00:00:00"/>
    <x v="2"/>
    <x v="4"/>
    <x v="4"/>
    <x v="0"/>
    <x v="22"/>
    <x v="3"/>
    <x v="6"/>
    <x v="2"/>
  </r>
  <r>
    <s v="TX501164"/>
    <x v="1"/>
    <x v="13"/>
    <n v="39.299999999999997"/>
    <n v="235.79999999999998"/>
    <d v="2025-02-15T00:00:00"/>
    <d v="2025-02-17T00:00:00"/>
    <x v="1"/>
    <x v="3"/>
    <x v="2"/>
    <x v="0"/>
    <x v="3"/>
    <x v="1"/>
    <x v="6"/>
    <x v="1"/>
  </r>
  <r>
    <s v="TX501165"/>
    <x v="9"/>
    <x v="0"/>
    <n v="70.2"/>
    <n v="70.2"/>
    <d v="2025-02-15T00:00:00"/>
    <d v="2025-02-16T00:00:00"/>
    <x v="2"/>
    <x v="0"/>
    <x v="4"/>
    <x v="0"/>
    <x v="3"/>
    <x v="3"/>
    <x v="6"/>
    <x v="2"/>
  </r>
  <r>
    <s v="TX501166"/>
    <x v="3"/>
    <x v="12"/>
    <n v="71.5"/>
    <n v="286"/>
    <d v="2025-02-15T00:00:00"/>
    <d v="2025-02-15T00:00:00"/>
    <x v="2"/>
    <x v="1"/>
    <x v="2"/>
    <x v="0"/>
    <x v="3"/>
    <x v="7"/>
    <x v="6"/>
    <x v="2"/>
  </r>
  <r>
    <s v="TX501167"/>
    <x v="10"/>
    <x v="3"/>
    <n v="31"/>
    <n v="217"/>
    <d v="2025-02-15T00:00:00"/>
    <d v="2025-02-22T00:00:00"/>
    <x v="2"/>
    <x v="3"/>
    <x v="2"/>
    <x v="0"/>
    <x v="3"/>
    <x v="6"/>
    <x v="6"/>
    <x v="2"/>
  </r>
  <r>
    <s v="TX501168"/>
    <x v="2"/>
    <x v="9"/>
    <n v="68.2"/>
    <n v="341"/>
    <d v="2025-02-15T00:00:00"/>
    <d v="2025-02-20T00:00:00"/>
    <x v="2"/>
    <x v="0"/>
    <x v="2"/>
    <x v="0"/>
    <x v="3"/>
    <x v="0"/>
    <x v="6"/>
    <x v="2"/>
  </r>
  <r>
    <s v="TX501169"/>
    <x v="2"/>
    <x v="0"/>
    <n v="91.4"/>
    <n v="91.4"/>
    <d v="2025-02-15T00:00:00"/>
    <d v="2025-02-19T00:00:00"/>
    <x v="2"/>
    <x v="1"/>
    <x v="2"/>
    <x v="0"/>
    <x v="6"/>
    <x v="5"/>
    <x v="6"/>
    <x v="2"/>
  </r>
  <r>
    <s v="TX501170"/>
    <x v="6"/>
    <x v="7"/>
    <n v="112.9"/>
    <n v="1129"/>
    <d v="2025-02-15T00:00:00"/>
    <d v="2025-02-16T00:00:00"/>
    <x v="2"/>
    <x v="0"/>
    <x v="0"/>
    <x v="0"/>
    <x v="6"/>
    <x v="3"/>
    <x v="6"/>
    <x v="2"/>
  </r>
  <r>
    <s v="TX501171"/>
    <x v="17"/>
    <x v="11"/>
    <n v="33.700000000000003"/>
    <n v="303.3"/>
    <d v="2025-02-15T00:00:00"/>
    <d v="2025-02-16T00:00:00"/>
    <x v="2"/>
    <x v="1"/>
    <x v="2"/>
    <x v="0"/>
    <x v="8"/>
    <x v="3"/>
    <x v="6"/>
    <x v="2"/>
  </r>
  <r>
    <s v="TX501172"/>
    <x v="15"/>
    <x v="7"/>
    <n v="35.299999999999997"/>
    <n v="353"/>
    <d v="2025-02-15T00:00:00"/>
    <d v="2025-02-17T00:00:00"/>
    <x v="1"/>
    <x v="2"/>
    <x v="0"/>
    <x v="0"/>
    <x v="8"/>
    <x v="1"/>
    <x v="6"/>
    <x v="1"/>
  </r>
  <r>
    <s v="TX501173"/>
    <x v="18"/>
    <x v="2"/>
    <n v="45.6"/>
    <n v="136.80000000000001"/>
    <d v="2025-02-15T00:00:00"/>
    <d v="2025-02-19T00:00:00"/>
    <x v="1"/>
    <x v="3"/>
    <x v="0"/>
    <x v="0"/>
    <x v="8"/>
    <x v="5"/>
    <x v="6"/>
    <x v="1"/>
  </r>
  <r>
    <s v="TX501174"/>
    <x v="7"/>
    <x v="3"/>
    <n v="47.1"/>
    <n v="329.7"/>
    <d v="2025-02-15T00:00:00"/>
    <d v="2025-02-16T00:00:00"/>
    <x v="2"/>
    <x v="4"/>
    <x v="2"/>
    <x v="0"/>
    <x v="9"/>
    <x v="3"/>
    <x v="6"/>
    <x v="2"/>
  </r>
  <r>
    <s v="TX501175"/>
    <x v="8"/>
    <x v="9"/>
    <n v="16.2"/>
    <n v="81"/>
    <d v="2025-02-15T00:00:00"/>
    <d v="2025-02-17T00:00:00"/>
    <x v="2"/>
    <x v="3"/>
    <x v="2"/>
    <x v="0"/>
    <x v="19"/>
    <x v="1"/>
    <x v="6"/>
    <x v="2"/>
  </r>
  <r>
    <s v="TX501176"/>
    <x v="1"/>
    <x v="1"/>
    <n v="159.69999999999999"/>
    <n v="319.39999999999998"/>
    <d v="2025-02-16T00:00:00"/>
    <d v="2025-02-17T00:00:00"/>
    <x v="1"/>
    <x v="4"/>
    <x v="0"/>
    <x v="0"/>
    <x v="13"/>
    <x v="3"/>
    <x v="7"/>
    <x v="1"/>
  </r>
  <r>
    <s v="TX501177"/>
    <x v="8"/>
    <x v="12"/>
    <n v="19"/>
    <n v="76"/>
    <d v="2025-02-16T00:00:00"/>
    <d v="2025-02-23T00:00:00"/>
    <x v="2"/>
    <x v="2"/>
    <x v="2"/>
    <x v="0"/>
    <x v="21"/>
    <x v="6"/>
    <x v="7"/>
    <x v="2"/>
  </r>
  <r>
    <s v="TX501178"/>
    <x v="6"/>
    <x v="13"/>
    <n v="91.1"/>
    <n v="546.59999999999991"/>
    <d v="2025-02-16T00:00:00"/>
    <d v="2025-02-25T00:00:00"/>
    <x v="2"/>
    <x v="4"/>
    <x v="0"/>
    <x v="0"/>
    <x v="21"/>
    <x v="8"/>
    <x v="7"/>
    <x v="2"/>
  </r>
  <r>
    <s v="TX501179"/>
    <x v="2"/>
    <x v="9"/>
    <n v="94.1"/>
    <n v="470.5"/>
    <d v="2025-02-16T00:00:00"/>
    <d v="2025-02-19T00:00:00"/>
    <x v="0"/>
    <x v="1"/>
    <x v="1"/>
    <x v="0"/>
    <x v="21"/>
    <x v="2"/>
    <x v="7"/>
    <x v="0"/>
  </r>
  <r>
    <s v="TX501180"/>
    <x v="9"/>
    <x v="11"/>
    <n v="21.1"/>
    <n v="189.9"/>
    <d v="2025-02-16T00:00:00"/>
    <d v="2025-02-17T00:00:00"/>
    <x v="2"/>
    <x v="4"/>
    <x v="2"/>
    <x v="0"/>
    <x v="51"/>
    <x v="3"/>
    <x v="7"/>
    <x v="2"/>
  </r>
  <r>
    <s v="TX501181"/>
    <x v="8"/>
    <x v="3"/>
    <n v="15.3"/>
    <n v="107.10000000000001"/>
    <d v="2025-02-16T00:00:00"/>
    <d v="2025-02-24T00:00:00"/>
    <x v="2"/>
    <x v="2"/>
    <x v="0"/>
    <x v="0"/>
    <x v="1"/>
    <x v="9"/>
    <x v="7"/>
    <x v="2"/>
  </r>
  <r>
    <s v="TX501182"/>
    <x v="15"/>
    <x v="12"/>
    <n v="21.3"/>
    <n v="85.2"/>
    <d v="2025-02-16T00:00:00"/>
    <d v="2025-02-19T00:00:00"/>
    <x v="1"/>
    <x v="1"/>
    <x v="0"/>
    <x v="0"/>
    <x v="3"/>
    <x v="2"/>
    <x v="7"/>
    <x v="1"/>
  </r>
  <r>
    <s v="TX501183"/>
    <x v="0"/>
    <x v="1"/>
    <n v="23.2"/>
    <n v="46.4"/>
    <d v="2025-02-16T00:00:00"/>
    <d v="2025-02-16T00:00:00"/>
    <x v="0"/>
    <x v="3"/>
    <x v="1"/>
    <x v="0"/>
    <x v="3"/>
    <x v="7"/>
    <x v="7"/>
    <x v="0"/>
  </r>
  <r>
    <s v="TX501184"/>
    <x v="4"/>
    <x v="2"/>
    <n v="25.7"/>
    <n v="77.099999999999994"/>
    <d v="2025-02-16T00:00:00"/>
    <d v="2025-02-17T00:00:00"/>
    <x v="1"/>
    <x v="4"/>
    <x v="0"/>
    <x v="0"/>
    <x v="3"/>
    <x v="3"/>
    <x v="7"/>
    <x v="1"/>
  </r>
  <r>
    <s v="TX501185"/>
    <x v="0"/>
    <x v="11"/>
    <n v="31.6"/>
    <n v="284.40000000000003"/>
    <d v="2025-02-16T00:00:00"/>
    <d v="2025-02-18T00:00:00"/>
    <x v="2"/>
    <x v="0"/>
    <x v="0"/>
    <x v="0"/>
    <x v="3"/>
    <x v="1"/>
    <x v="7"/>
    <x v="2"/>
  </r>
  <r>
    <s v="TX501186"/>
    <x v="6"/>
    <x v="0"/>
    <n v="64.2"/>
    <n v="64.2"/>
    <d v="2025-02-16T00:00:00"/>
    <d v="2025-02-21T00:00:00"/>
    <x v="1"/>
    <x v="0"/>
    <x v="0"/>
    <x v="0"/>
    <x v="3"/>
    <x v="0"/>
    <x v="7"/>
    <x v="1"/>
  </r>
  <r>
    <s v="TX501187"/>
    <x v="8"/>
    <x v="1"/>
    <n v="55.8"/>
    <n v="111.6"/>
    <d v="2025-02-16T00:00:00"/>
    <d v="2025-02-18T00:00:00"/>
    <x v="0"/>
    <x v="0"/>
    <x v="0"/>
    <x v="0"/>
    <x v="3"/>
    <x v="1"/>
    <x v="7"/>
    <x v="0"/>
  </r>
  <r>
    <s v="TX501188"/>
    <x v="8"/>
    <x v="1"/>
    <n v="28.1"/>
    <n v="56.2"/>
    <d v="2025-02-16T00:00:00"/>
    <d v="2025-02-17T00:00:00"/>
    <x v="2"/>
    <x v="4"/>
    <x v="1"/>
    <x v="0"/>
    <x v="3"/>
    <x v="3"/>
    <x v="7"/>
    <x v="2"/>
  </r>
  <r>
    <s v="TX501189"/>
    <x v="0"/>
    <x v="1"/>
    <n v="11.6"/>
    <n v="23.2"/>
    <d v="2025-02-16T00:00:00"/>
    <d v="2025-02-18T00:00:00"/>
    <x v="2"/>
    <x v="1"/>
    <x v="0"/>
    <x v="0"/>
    <x v="24"/>
    <x v="1"/>
    <x v="7"/>
    <x v="2"/>
  </r>
  <r>
    <s v="TX501190"/>
    <x v="5"/>
    <x v="2"/>
    <n v="50.4"/>
    <n v="151.19999999999999"/>
    <d v="2025-02-16T00:00:00"/>
    <d v="2025-02-17T00:00:00"/>
    <x v="1"/>
    <x v="4"/>
    <x v="2"/>
    <x v="0"/>
    <x v="25"/>
    <x v="3"/>
    <x v="7"/>
    <x v="1"/>
  </r>
  <r>
    <s v="TX501191"/>
    <x v="6"/>
    <x v="13"/>
    <n v="48.3"/>
    <n v="289.79999999999995"/>
    <d v="2025-02-16T00:00:00"/>
    <d v="2025-02-20T00:00:00"/>
    <x v="2"/>
    <x v="0"/>
    <x v="0"/>
    <x v="0"/>
    <x v="25"/>
    <x v="5"/>
    <x v="7"/>
    <x v="2"/>
  </r>
  <r>
    <s v="TX501192"/>
    <x v="17"/>
    <x v="3"/>
    <n v="32.200000000000003"/>
    <n v="225.40000000000003"/>
    <d v="2025-02-16T00:00:00"/>
    <d v="2025-02-18T00:00:00"/>
    <x v="2"/>
    <x v="2"/>
    <x v="0"/>
    <x v="0"/>
    <x v="25"/>
    <x v="1"/>
    <x v="7"/>
    <x v="2"/>
  </r>
  <r>
    <s v="TX501193"/>
    <x v="7"/>
    <x v="31"/>
    <n v="48.5"/>
    <n v="1358"/>
    <d v="2025-02-16T00:00:00"/>
    <d v="2025-02-17T00:00:00"/>
    <x v="1"/>
    <x v="0"/>
    <x v="0"/>
    <x v="0"/>
    <x v="5"/>
    <x v="3"/>
    <x v="7"/>
    <x v="1"/>
  </r>
  <r>
    <s v="TX501194"/>
    <x v="2"/>
    <x v="9"/>
    <n v="62"/>
    <n v="310"/>
    <d v="2025-02-16T00:00:00"/>
    <d v="2025-02-19T00:00:00"/>
    <x v="2"/>
    <x v="1"/>
    <x v="0"/>
    <x v="0"/>
    <x v="6"/>
    <x v="2"/>
    <x v="7"/>
    <x v="2"/>
  </r>
  <r>
    <s v="TX501195"/>
    <x v="8"/>
    <x v="2"/>
    <n v="32.1"/>
    <n v="96.300000000000011"/>
    <d v="2025-02-17T00:00:00"/>
    <d v="2025-02-19T00:00:00"/>
    <x v="1"/>
    <x v="0"/>
    <x v="0"/>
    <x v="0"/>
    <x v="6"/>
    <x v="1"/>
    <x v="7"/>
    <x v="1"/>
  </r>
  <r>
    <s v="TX501196"/>
    <x v="12"/>
    <x v="2"/>
    <n v="106.1"/>
    <n v="318.29999999999995"/>
    <d v="2025-02-17T00:00:00"/>
    <d v="2025-02-19T00:00:00"/>
    <x v="1"/>
    <x v="0"/>
    <x v="1"/>
    <x v="0"/>
    <x v="7"/>
    <x v="1"/>
    <x v="7"/>
    <x v="1"/>
  </r>
  <r>
    <s v="TX501197"/>
    <x v="10"/>
    <x v="2"/>
    <n v="23.5"/>
    <n v="70.5"/>
    <d v="2025-02-17T00:00:00"/>
    <d v="2025-02-20T00:00:00"/>
    <x v="1"/>
    <x v="0"/>
    <x v="4"/>
    <x v="0"/>
    <x v="7"/>
    <x v="2"/>
    <x v="7"/>
    <x v="1"/>
  </r>
  <r>
    <s v="TX501198"/>
    <x v="1"/>
    <x v="1"/>
    <n v="35.6"/>
    <n v="71.2"/>
    <d v="2025-02-17T00:00:00"/>
    <d v="2025-02-22T00:00:00"/>
    <x v="1"/>
    <x v="4"/>
    <x v="0"/>
    <x v="0"/>
    <x v="8"/>
    <x v="0"/>
    <x v="7"/>
    <x v="1"/>
  </r>
  <r>
    <s v="TX501199"/>
    <x v="1"/>
    <x v="1"/>
    <n v="63.5"/>
    <n v="127"/>
    <d v="2025-02-17T00:00:00"/>
    <d v="2025-02-17T00:00:00"/>
    <x v="2"/>
    <x v="1"/>
    <x v="2"/>
    <x v="0"/>
    <x v="8"/>
    <x v="7"/>
    <x v="7"/>
    <x v="2"/>
  </r>
  <r>
    <s v="TX501200"/>
    <x v="6"/>
    <x v="3"/>
    <n v="82.9"/>
    <n v="580.30000000000007"/>
    <d v="2025-02-17T00:00:00"/>
    <d v="2025-02-22T00:00:00"/>
    <x v="2"/>
    <x v="4"/>
    <x v="0"/>
    <x v="0"/>
    <x v="9"/>
    <x v="0"/>
    <x v="7"/>
    <x v="2"/>
  </r>
  <r>
    <s v="TX501201"/>
    <x v="6"/>
    <x v="1"/>
    <n v="83.6"/>
    <n v="167.2"/>
    <d v="2025-02-17T00:00:00"/>
    <d v="2025-02-22T00:00:00"/>
    <x v="2"/>
    <x v="0"/>
    <x v="0"/>
    <x v="0"/>
    <x v="11"/>
    <x v="0"/>
    <x v="7"/>
    <x v="2"/>
  </r>
  <r>
    <s v="TX501202"/>
    <x v="4"/>
    <x v="1"/>
    <n v="29.4"/>
    <n v="58.8"/>
    <d v="2025-02-17T00:00:00"/>
    <d v="2025-02-17T00:00:00"/>
    <x v="2"/>
    <x v="0"/>
    <x v="1"/>
    <x v="0"/>
    <x v="30"/>
    <x v="7"/>
    <x v="7"/>
    <x v="2"/>
  </r>
  <r>
    <s v="TX501203"/>
    <x v="2"/>
    <x v="2"/>
    <n v="107.1"/>
    <n v="321.29999999999995"/>
    <d v="2025-02-17T00:00:00"/>
    <d v="2025-02-21T00:00:00"/>
    <x v="2"/>
    <x v="2"/>
    <x v="0"/>
    <x v="0"/>
    <x v="20"/>
    <x v="5"/>
    <x v="7"/>
    <x v="2"/>
  </r>
  <r>
    <s v="TX501204"/>
    <x v="2"/>
    <x v="0"/>
    <n v="62.7"/>
    <n v="62.7"/>
    <d v="2025-02-17T00:00:00"/>
    <d v="2025-02-21T00:00:00"/>
    <x v="1"/>
    <x v="1"/>
    <x v="0"/>
    <x v="0"/>
    <x v="21"/>
    <x v="5"/>
    <x v="7"/>
    <x v="1"/>
  </r>
  <r>
    <s v="TX501205"/>
    <x v="11"/>
    <x v="0"/>
    <n v="41.6"/>
    <n v="41.6"/>
    <d v="2025-02-17T00:00:00"/>
    <d v="2025-02-18T00:00:00"/>
    <x v="1"/>
    <x v="0"/>
    <x v="1"/>
    <x v="0"/>
    <x v="1"/>
    <x v="3"/>
    <x v="7"/>
    <x v="1"/>
  </r>
  <r>
    <s v="TX501206"/>
    <x v="6"/>
    <x v="0"/>
    <n v="44.2"/>
    <n v="44.2"/>
    <d v="2025-02-17T00:00:00"/>
    <d v="2025-02-18T00:00:00"/>
    <x v="3"/>
    <x v="0"/>
    <x v="1"/>
    <x v="0"/>
    <x v="1"/>
    <x v="3"/>
    <x v="7"/>
    <x v="3"/>
  </r>
  <r>
    <s v="TX501207"/>
    <x v="4"/>
    <x v="13"/>
    <n v="40.4"/>
    <n v="242.39999999999998"/>
    <d v="2025-02-17T00:00:00"/>
    <d v="2025-03-02T00:00:00"/>
    <x v="2"/>
    <x v="2"/>
    <x v="0"/>
    <x v="0"/>
    <x v="22"/>
    <x v="10"/>
    <x v="7"/>
    <x v="2"/>
  </r>
  <r>
    <s v="TX501208"/>
    <x v="15"/>
    <x v="13"/>
    <n v="59.6"/>
    <n v="357.6"/>
    <d v="2025-02-17T00:00:00"/>
    <d v="2025-02-18T00:00:00"/>
    <x v="2"/>
    <x v="4"/>
    <x v="0"/>
    <x v="0"/>
    <x v="34"/>
    <x v="3"/>
    <x v="7"/>
    <x v="2"/>
  </r>
  <r>
    <s v="TX501209"/>
    <x v="17"/>
    <x v="4"/>
    <n v="63.8"/>
    <n v="765.59999999999991"/>
    <d v="2025-02-17T00:00:00"/>
    <d v="2025-02-18T00:00:00"/>
    <x v="1"/>
    <x v="1"/>
    <x v="0"/>
    <x v="0"/>
    <x v="3"/>
    <x v="3"/>
    <x v="7"/>
    <x v="1"/>
  </r>
  <r>
    <s v="TX501210"/>
    <x v="9"/>
    <x v="13"/>
    <n v="30.8"/>
    <n v="184.8"/>
    <d v="2025-02-17T00:00:00"/>
    <d v="2025-02-19T00:00:00"/>
    <x v="1"/>
    <x v="4"/>
    <x v="0"/>
    <x v="0"/>
    <x v="3"/>
    <x v="1"/>
    <x v="7"/>
    <x v="1"/>
  </r>
  <r>
    <s v="TX501211"/>
    <x v="1"/>
    <x v="1"/>
    <n v="41.5"/>
    <n v="83"/>
    <d v="2025-02-17T00:00:00"/>
    <d v="2025-02-20T00:00:00"/>
    <x v="3"/>
    <x v="0"/>
    <x v="0"/>
    <x v="0"/>
    <x v="3"/>
    <x v="2"/>
    <x v="7"/>
    <x v="3"/>
  </r>
  <r>
    <s v="TX501212"/>
    <x v="10"/>
    <x v="12"/>
    <n v="44.7"/>
    <n v="178.8"/>
    <d v="2025-02-17T00:00:00"/>
    <d v="2025-02-19T00:00:00"/>
    <x v="2"/>
    <x v="2"/>
    <x v="1"/>
    <x v="0"/>
    <x v="3"/>
    <x v="1"/>
    <x v="7"/>
    <x v="2"/>
  </r>
  <r>
    <s v="TX501213"/>
    <x v="12"/>
    <x v="1"/>
    <n v="64.099999999999994"/>
    <n v="128.19999999999999"/>
    <d v="2025-02-17T00:00:00"/>
    <d v="2025-02-21T00:00:00"/>
    <x v="2"/>
    <x v="1"/>
    <x v="4"/>
    <x v="0"/>
    <x v="3"/>
    <x v="5"/>
    <x v="7"/>
    <x v="2"/>
  </r>
  <r>
    <s v="TX501214"/>
    <x v="8"/>
    <x v="0"/>
    <n v="15.9"/>
    <n v="15.9"/>
    <d v="2025-02-17T00:00:00"/>
    <d v="2025-02-20T00:00:00"/>
    <x v="0"/>
    <x v="1"/>
    <x v="0"/>
    <x v="0"/>
    <x v="3"/>
    <x v="2"/>
    <x v="7"/>
    <x v="0"/>
  </r>
  <r>
    <s v="TX501215"/>
    <x v="6"/>
    <x v="1"/>
    <n v="78.7"/>
    <n v="157.4"/>
    <d v="2025-02-17T00:00:00"/>
    <d v="2025-02-17T00:00:00"/>
    <x v="2"/>
    <x v="2"/>
    <x v="1"/>
    <x v="0"/>
    <x v="3"/>
    <x v="7"/>
    <x v="7"/>
    <x v="2"/>
  </r>
  <r>
    <s v="TX501216"/>
    <x v="5"/>
    <x v="4"/>
    <n v="29.6"/>
    <n v="355.20000000000005"/>
    <d v="2025-02-17T00:00:00"/>
    <d v="2025-02-21T00:00:00"/>
    <x v="1"/>
    <x v="2"/>
    <x v="4"/>
    <x v="0"/>
    <x v="3"/>
    <x v="5"/>
    <x v="7"/>
    <x v="1"/>
  </r>
  <r>
    <s v="TX501217"/>
    <x v="8"/>
    <x v="12"/>
    <n v="21.5"/>
    <n v="86"/>
    <d v="2025-02-17T00:00:00"/>
    <d v="2025-02-20T00:00:00"/>
    <x v="1"/>
    <x v="1"/>
    <x v="0"/>
    <x v="0"/>
    <x v="3"/>
    <x v="2"/>
    <x v="7"/>
    <x v="1"/>
  </r>
  <r>
    <s v="TX501218"/>
    <x v="9"/>
    <x v="2"/>
    <n v="74.900000000000006"/>
    <n v="224.70000000000002"/>
    <d v="2025-02-17T00:00:00"/>
    <d v="2025-02-26T00:00:00"/>
    <x v="1"/>
    <x v="3"/>
    <x v="1"/>
    <x v="0"/>
    <x v="3"/>
    <x v="8"/>
    <x v="7"/>
    <x v="1"/>
  </r>
  <r>
    <s v="TX501219"/>
    <x v="10"/>
    <x v="13"/>
    <n v="45"/>
    <n v="270"/>
    <d v="2025-02-17T00:00:00"/>
    <d v="2025-02-22T00:00:00"/>
    <x v="2"/>
    <x v="2"/>
    <x v="0"/>
    <x v="0"/>
    <x v="3"/>
    <x v="0"/>
    <x v="7"/>
    <x v="2"/>
  </r>
  <r>
    <s v="TX501220"/>
    <x v="7"/>
    <x v="33"/>
    <n v="37.9"/>
    <n v="1288.5999999999999"/>
    <d v="2025-02-17T00:00:00"/>
    <d v="2025-02-18T00:00:00"/>
    <x v="1"/>
    <x v="0"/>
    <x v="0"/>
    <x v="0"/>
    <x v="3"/>
    <x v="3"/>
    <x v="7"/>
    <x v="1"/>
  </r>
  <r>
    <s v="TX501221"/>
    <x v="6"/>
    <x v="2"/>
    <n v="56.6"/>
    <n v="169.8"/>
    <d v="2025-02-17T00:00:00"/>
    <d v="2025-02-18T00:00:00"/>
    <x v="1"/>
    <x v="3"/>
    <x v="0"/>
    <x v="0"/>
    <x v="3"/>
    <x v="3"/>
    <x v="7"/>
    <x v="1"/>
  </r>
  <r>
    <s v="TX501222"/>
    <x v="3"/>
    <x v="15"/>
    <n v="84.5"/>
    <n v="1098.5"/>
    <d v="2025-02-17T00:00:00"/>
    <d v="2025-02-20T00:00:00"/>
    <x v="2"/>
    <x v="1"/>
    <x v="4"/>
    <x v="0"/>
    <x v="3"/>
    <x v="2"/>
    <x v="7"/>
    <x v="2"/>
  </r>
  <r>
    <s v="TX501223"/>
    <x v="2"/>
    <x v="9"/>
    <n v="105.4"/>
    <n v="527"/>
    <d v="2025-02-17T00:00:00"/>
    <d v="2025-02-19T00:00:00"/>
    <x v="2"/>
    <x v="1"/>
    <x v="1"/>
    <x v="0"/>
    <x v="3"/>
    <x v="1"/>
    <x v="7"/>
    <x v="2"/>
  </r>
  <r>
    <s v="TX501224"/>
    <x v="18"/>
    <x v="3"/>
    <n v="39.4"/>
    <n v="275.8"/>
    <d v="2025-02-18T00:00:00"/>
    <d v="2025-02-18T00:00:00"/>
    <x v="1"/>
    <x v="1"/>
    <x v="0"/>
    <x v="0"/>
    <x v="37"/>
    <x v="7"/>
    <x v="7"/>
    <x v="1"/>
  </r>
  <r>
    <s v="TX501225"/>
    <x v="19"/>
    <x v="2"/>
    <n v="38"/>
    <n v="114"/>
    <d v="2025-02-18T00:00:00"/>
    <d v="2025-02-21T00:00:00"/>
    <x v="1"/>
    <x v="4"/>
    <x v="1"/>
    <x v="0"/>
    <x v="6"/>
    <x v="2"/>
    <x v="7"/>
    <x v="1"/>
  </r>
  <r>
    <s v="TX501226"/>
    <x v="17"/>
    <x v="12"/>
    <n v="42.5"/>
    <n v="170"/>
    <d v="2025-02-18T00:00:00"/>
    <d v="2025-02-20T00:00:00"/>
    <x v="0"/>
    <x v="0"/>
    <x v="0"/>
    <x v="0"/>
    <x v="6"/>
    <x v="1"/>
    <x v="7"/>
    <x v="0"/>
  </r>
  <r>
    <s v="TX501227"/>
    <x v="15"/>
    <x v="0"/>
    <n v="62.3"/>
    <n v="62.3"/>
    <d v="2025-02-18T00:00:00"/>
    <d v="2025-02-27T00:00:00"/>
    <x v="1"/>
    <x v="0"/>
    <x v="2"/>
    <x v="0"/>
    <x v="6"/>
    <x v="8"/>
    <x v="7"/>
    <x v="1"/>
  </r>
  <r>
    <s v="TX501228"/>
    <x v="6"/>
    <x v="9"/>
    <n v="49.1"/>
    <n v="245.5"/>
    <d v="2025-02-18T00:00:00"/>
    <d v="2025-02-20T00:00:00"/>
    <x v="2"/>
    <x v="1"/>
    <x v="2"/>
    <x v="0"/>
    <x v="7"/>
    <x v="1"/>
    <x v="7"/>
    <x v="2"/>
  </r>
  <r>
    <s v="TX501229"/>
    <x v="3"/>
    <x v="1"/>
    <n v="30.5"/>
    <n v="61"/>
    <d v="2025-02-18T00:00:00"/>
    <d v="2025-02-21T00:00:00"/>
    <x v="1"/>
    <x v="0"/>
    <x v="2"/>
    <x v="0"/>
    <x v="8"/>
    <x v="2"/>
    <x v="7"/>
    <x v="1"/>
  </r>
  <r>
    <s v="TX501230"/>
    <x v="2"/>
    <x v="1"/>
    <n v="154.80000000000001"/>
    <n v="309.60000000000002"/>
    <d v="2025-02-18T00:00:00"/>
    <d v="2025-02-21T00:00:00"/>
    <x v="2"/>
    <x v="1"/>
    <x v="4"/>
    <x v="0"/>
    <x v="8"/>
    <x v="2"/>
    <x v="7"/>
    <x v="2"/>
  </r>
  <r>
    <s v="TX501231"/>
    <x v="6"/>
    <x v="0"/>
    <n v="45"/>
    <n v="45"/>
    <d v="2025-02-18T00:00:00"/>
    <d v="2025-02-22T00:00:00"/>
    <x v="1"/>
    <x v="3"/>
    <x v="1"/>
    <x v="0"/>
    <x v="8"/>
    <x v="5"/>
    <x v="7"/>
    <x v="1"/>
  </r>
  <r>
    <s v="TX501232"/>
    <x v="0"/>
    <x v="3"/>
    <n v="15.3"/>
    <n v="107.10000000000001"/>
    <d v="2025-02-18T00:00:00"/>
    <d v="2025-02-19T00:00:00"/>
    <x v="1"/>
    <x v="0"/>
    <x v="2"/>
    <x v="0"/>
    <x v="8"/>
    <x v="3"/>
    <x v="7"/>
    <x v="1"/>
  </r>
  <r>
    <s v="TX501233"/>
    <x v="2"/>
    <x v="5"/>
    <n v="88.6"/>
    <n v="974.59999999999991"/>
    <d v="2025-02-18T00:00:00"/>
    <d v="2025-02-21T00:00:00"/>
    <x v="2"/>
    <x v="0"/>
    <x v="4"/>
    <x v="0"/>
    <x v="17"/>
    <x v="2"/>
    <x v="7"/>
    <x v="2"/>
  </r>
  <r>
    <s v="TX501234"/>
    <x v="9"/>
    <x v="1"/>
    <n v="49.7"/>
    <n v="99.4"/>
    <d v="2025-02-18T00:00:00"/>
    <d v="2025-02-20T00:00:00"/>
    <x v="3"/>
    <x v="4"/>
    <x v="0"/>
    <x v="0"/>
    <x v="10"/>
    <x v="1"/>
    <x v="7"/>
    <x v="3"/>
  </r>
  <r>
    <s v="TX501235"/>
    <x v="10"/>
    <x v="0"/>
    <n v="29"/>
    <n v="29"/>
    <d v="2025-02-18T00:00:00"/>
    <d v="2025-02-19T00:00:00"/>
    <x v="1"/>
    <x v="0"/>
    <x v="0"/>
    <x v="0"/>
    <x v="11"/>
    <x v="3"/>
    <x v="7"/>
    <x v="1"/>
  </r>
  <r>
    <s v="TX501236"/>
    <x v="1"/>
    <x v="0"/>
    <n v="60.7"/>
    <n v="60.7"/>
    <d v="2025-02-18T00:00:00"/>
    <d v="2025-02-19T00:00:00"/>
    <x v="3"/>
    <x v="0"/>
    <x v="1"/>
    <x v="0"/>
    <x v="11"/>
    <x v="3"/>
    <x v="7"/>
    <x v="3"/>
  </r>
  <r>
    <s v="TX501237"/>
    <x v="17"/>
    <x v="12"/>
    <n v="87.4"/>
    <n v="349.6"/>
    <d v="2025-02-18T00:00:00"/>
    <d v="2025-02-20T00:00:00"/>
    <x v="0"/>
    <x v="0"/>
    <x v="0"/>
    <x v="0"/>
    <x v="11"/>
    <x v="1"/>
    <x v="7"/>
    <x v="0"/>
  </r>
  <r>
    <s v="TX501238"/>
    <x v="4"/>
    <x v="3"/>
    <n v="44.5"/>
    <n v="311.5"/>
    <d v="2025-02-18T00:00:00"/>
    <d v="2025-02-22T00:00:00"/>
    <x v="2"/>
    <x v="2"/>
    <x v="2"/>
    <x v="0"/>
    <x v="19"/>
    <x v="5"/>
    <x v="7"/>
    <x v="2"/>
  </r>
  <r>
    <s v="TX501239"/>
    <x v="2"/>
    <x v="0"/>
    <n v="141"/>
    <n v="141"/>
    <d v="2025-02-18T00:00:00"/>
    <d v="2025-02-19T00:00:00"/>
    <x v="1"/>
    <x v="4"/>
    <x v="2"/>
    <x v="0"/>
    <x v="19"/>
    <x v="3"/>
    <x v="7"/>
    <x v="1"/>
  </r>
  <r>
    <s v="TX501240"/>
    <x v="0"/>
    <x v="2"/>
    <n v="16.7"/>
    <n v="50.099999999999994"/>
    <d v="2025-02-18T00:00:00"/>
    <d v="2025-02-26T00:00:00"/>
    <x v="2"/>
    <x v="0"/>
    <x v="0"/>
    <x v="0"/>
    <x v="20"/>
    <x v="9"/>
    <x v="7"/>
    <x v="2"/>
  </r>
  <r>
    <s v="TX501241"/>
    <x v="1"/>
    <x v="1"/>
    <n v="77.5"/>
    <n v="155"/>
    <d v="2025-02-18T00:00:00"/>
    <d v="2025-02-19T00:00:00"/>
    <x v="0"/>
    <x v="2"/>
    <x v="2"/>
    <x v="0"/>
    <x v="13"/>
    <x v="3"/>
    <x v="7"/>
    <x v="0"/>
  </r>
  <r>
    <s v="TX501242"/>
    <x v="2"/>
    <x v="1"/>
    <n v="163"/>
    <n v="326"/>
    <d v="2025-02-18T00:00:00"/>
    <d v="2025-02-24T00:00:00"/>
    <x v="2"/>
    <x v="4"/>
    <x v="0"/>
    <x v="0"/>
    <x v="21"/>
    <x v="4"/>
    <x v="7"/>
    <x v="2"/>
  </r>
  <r>
    <s v="TX501243"/>
    <x v="4"/>
    <x v="11"/>
    <n v="21.4"/>
    <n v="192.6"/>
    <d v="2025-02-18T00:00:00"/>
    <d v="2025-02-21T00:00:00"/>
    <x v="2"/>
    <x v="0"/>
    <x v="0"/>
    <x v="0"/>
    <x v="51"/>
    <x v="2"/>
    <x v="7"/>
    <x v="2"/>
  </r>
  <r>
    <s v="TX501244"/>
    <x v="10"/>
    <x v="5"/>
    <n v="31"/>
    <n v="341"/>
    <d v="2025-02-18T00:00:00"/>
    <d v="2025-02-20T00:00:00"/>
    <x v="2"/>
    <x v="3"/>
    <x v="2"/>
    <x v="0"/>
    <x v="1"/>
    <x v="1"/>
    <x v="7"/>
    <x v="2"/>
  </r>
  <r>
    <s v="TX501245"/>
    <x v="7"/>
    <x v="1"/>
    <n v="34.299999999999997"/>
    <n v="68.599999999999994"/>
    <d v="2025-02-18T00:00:00"/>
    <d v="2025-02-20T00:00:00"/>
    <x v="2"/>
    <x v="0"/>
    <x v="3"/>
    <x v="0"/>
    <x v="1"/>
    <x v="1"/>
    <x v="7"/>
    <x v="2"/>
  </r>
  <r>
    <s v="TX501246"/>
    <x v="17"/>
    <x v="9"/>
    <n v="48.2"/>
    <n v="241"/>
    <d v="2025-02-18T00:00:00"/>
    <d v="2025-02-19T00:00:00"/>
    <x v="1"/>
    <x v="1"/>
    <x v="1"/>
    <x v="0"/>
    <x v="2"/>
    <x v="3"/>
    <x v="7"/>
    <x v="1"/>
  </r>
  <r>
    <s v="TX501247"/>
    <x v="10"/>
    <x v="0"/>
    <n v="51.4"/>
    <n v="51.4"/>
    <d v="2025-02-18T00:00:00"/>
    <d v="2025-02-19T00:00:00"/>
    <x v="1"/>
    <x v="0"/>
    <x v="0"/>
    <x v="0"/>
    <x v="3"/>
    <x v="3"/>
    <x v="7"/>
    <x v="1"/>
  </r>
  <r>
    <s v="TX501248"/>
    <x v="2"/>
    <x v="9"/>
    <n v="117.2"/>
    <n v="586"/>
    <d v="2025-02-18T00:00:00"/>
    <d v="2025-02-21T00:00:00"/>
    <x v="2"/>
    <x v="4"/>
    <x v="4"/>
    <x v="0"/>
    <x v="3"/>
    <x v="2"/>
    <x v="7"/>
    <x v="2"/>
  </r>
  <r>
    <s v="TX501249"/>
    <x v="8"/>
    <x v="0"/>
    <n v="38.1"/>
    <n v="38.1"/>
    <d v="2025-02-18T00:00:00"/>
    <d v="2025-02-18T00:00:00"/>
    <x v="1"/>
    <x v="4"/>
    <x v="1"/>
    <x v="0"/>
    <x v="3"/>
    <x v="7"/>
    <x v="7"/>
    <x v="1"/>
  </r>
  <r>
    <s v="TX501250"/>
    <x v="0"/>
    <x v="1"/>
    <n v="44.1"/>
    <n v="88.2"/>
    <d v="2025-02-18T00:00:00"/>
    <d v="2025-02-20T00:00:00"/>
    <x v="2"/>
    <x v="2"/>
    <x v="0"/>
    <x v="0"/>
    <x v="3"/>
    <x v="1"/>
    <x v="7"/>
    <x v="2"/>
  </r>
  <r>
    <s v="TX501251"/>
    <x v="15"/>
    <x v="12"/>
    <n v="80.5"/>
    <n v="322"/>
    <d v="2025-02-18T00:00:00"/>
    <d v="2025-02-23T00:00:00"/>
    <x v="1"/>
    <x v="0"/>
    <x v="0"/>
    <x v="0"/>
    <x v="3"/>
    <x v="0"/>
    <x v="7"/>
    <x v="1"/>
  </r>
  <r>
    <s v="TX501252"/>
    <x v="18"/>
    <x v="12"/>
    <n v="33.6"/>
    <n v="134.4"/>
    <d v="2025-02-18T00:00:00"/>
    <d v="2025-02-23T00:00:00"/>
    <x v="0"/>
    <x v="0"/>
    <x v="2"/>
    <x v="0"/>
    <x v="3"/>
    <x v="0"/>
    <x v="7"/>
    <x v="0"/>
  </r>
  <r>
    <s v="TX501253"/>
    <x v="9"/>
    <x v="11"/>
    <n v="41.8"/>
    <n v="376.2"/>
    <d v="2025-02-18T00:00:00"/>
    <d v="2025-02-19T00:00:00"/>
    <x v="2"/>
    <x v="0"/>
    <x v="1"/>
    <x v="0"/>
    <x v="3"/>
    <x v="3"/>
    <x v="7"/>
    <x v="2"/>
  </r>
  <r>
    <s v="TX501254"/>
    <x v="1"/>
    <x v="1"/>
    <n v="106.2"/>
    <n v="212.4"/>
    <d v="2025-02-18T00:00:00"/>
    <d v="2025-02-18T00:00:00"/>
    <x v="2"/>
    <x v="4"/>
    <x v="2"/>
    <x v="0"/>
    <x v="3"/>
    <x v="7"/>
    <x v="7"/>
    <x v="2"/>
  </r>
  <r>
    <s v="TX501255"/>
    <x v="1"/>
    <x v="1"/>
    <n v="52.6"/>
    <n v="105.2"/>
    <d v="2025-02-18T00:00:00"/>
    <d v="2025-02-19T00:00:00"/>
    <x v="2"/>
    <x v="0"/>
    <x v="2"/>
    <x v="0"/>
    <x v="5"/>
    <x v="3"/>
    <x v="7"/>
    <x v="2"/>
  </r>
  <r>
    <s v="TX501256"/>
    <x v="11"/>
    <x v="3"/>
    <n v="68.5"/>
    <n v="479.5"/>
    <d v="2025-02-18T00:00:00"/>
    <d v="2025-02-19T00:00:00"/>
    <x v="2"/>
    <x v="1"/>
    <x v="0"/>
    <x v="0"/>
    <x v="5"/>
    <x v="3"/>
    <x v="7"/>
    <x v="2"/>
  </r>
  <r>
    <s v="TX501257"/>
    <x v="1"/>
    <x v="1"/>
    <n v="55.6"/>
    <n v="111.2"/>
    <d v="2025-02-18T00:00:00"/>
    <d v="2025-02-20T00:00:00"/>
    <x v="1"/>
    <x v="1"/>
    <x v="2"/>
    <x v="0"/>
    <x v="6"/>
    <x v="1"/>
    <x v="7"/>
    <x v="1"/>
  </r>
  <r>
    <s v="TX501258"/>
    <x v="2"/>
    <x v="2"/>
    <n v="134.9"/>
    <n v="404.70000000000005"/>
    <d v="2025-02-18T00:00:00"/>
    <d v="2025-02-19T00:00:00"/>
    <x v="1"/>
    <x v="1"/>
    <x v="1"/>
    <x v="0"/>
    <x v="6"/>
    <x v="3"/>
    <x v="7"/>
    <x v="1"/>
  </r>
  <r>
    <s v="TX501259"/>
    <x v="10"/>
    <x v="9"/>
    <n v="42.6"/>
    <n v="213"/>
    <d v="2025-02-18T00:00:00"/>
    <d v="2025-02-19T00:00:00"/>
    <x v="1"/>
    <x v="0"/>
    <x v="0"/>
    <x v="0"/>
    <x v="6"/>
    <x v="3"/>
    <x v="7"/>
    <x v="1"/>
  </r>
  <r>
    <s v="TX501260"/>
    <x v="7"/>
    <x v="9"/>
    <n v="60.6"/>
    <n v="303"/>
    <d v="2025-02-18T00:00:00"/>
    <d v="2025-02-20T00:00:00"/>
    <x v="1"/>
    <x v="4"/>
    <x v="0"/>
    <x v="0"/>
    <x v="6"/>
    <x v="1"/>
    <x v="7"/>
    <x v="1"/>
  </r>
  <r>
    <s v="TX501261"/>
    <x v="8"/>
    <x v="1"/>
    <n v="43.5"/>
    <n v="87"/>
    <d v="2025-02-18T00:00:00"/>
    <d v="2025-02-19T00:00:00"/>
    <x v="1"/>
    <x v="4"/>
    <x v="0"/>
    <x v="0"/>
    <x v="7"/>
    <x v="3"/>
    <x v="7"/>
    <x v="1"/>
  </r>
  <r>
    <s v="TX501262"/>
    <x v="2"/>
    <x v="1"/>
    <n v="187.1"/>
    <n v="374.2"/>
    <d v="2025-02-18T00:00:00"/>
    <d v="2025-02-19T00:00:00"/>
    <x v="1"/>
    <x v="1"/>
    <x v="2"/>
    <x v="0"/>
    <x v="8"/>
    <x v="3"/>
    <x v="7"/>
    <x v="1"/>
  </r>
  <r>
    <s v="TX501263"/>
    <x v="9"/>
    <x v="2"/>
    <n v="32"/>
    <n v="96"/>
    <d v="2025-02-18T00:00:00"/>
    <d v="2025-02-20T00:00:00"/>
    <x v="1"/>
    <x v="0"/>
    <x v="0"/>
    <x v="0"/>
    <x v="8"/>
    <x v="1"/>
    <x v="7"/>
    <x v="1"/>
  </r>
  <r>
    <s v="TX501264"/>
    <x v="9"/>
    <x v="1"/>
    <n v="110.8"/>
    <n v="221.6"/>
    <d v="2025-02-18T00:00:00"/>
    <d v="2025-02-18T00:00:00"/>
    <x v="1"/>
    <x v="0"/>
    <x v="2"/>
    <x v="0"/>
    <x v="8"/>
    <x v="7"/>
    <x v="7"/>
    <x v="1"/>
  </r>
  <r>
    <s v="TX501265"/>
    <x v="10"/>
    <x v="15"/>
    <n v="36.1"/>
    <n v="469.3"/>
    <d v="2025-02-18T00:00:00"/>
    <d v="2025-02-21T00:00:00"/>
    <x v="2"/>
    <x v="0"/>
    <x v="1"/>
    <x v="0"/>
    <x v="8"/>
    <x v="2"/>
    <x v="7"/>
    <x v="2"/>
  </r>
  <r>
    <s v="TX501266"/>
    <x v="0"/>
    <x v="0"/>
    <n v="24.1"/>
    <n v="24.1"/>
    <d v="2025-02-18T00:00:00"/>
    <d v="2025-02-20T00:00:00"/>
    <x v="2"/>
    <x v="4"/>
    <x v="2"/>
    <x v="0"/>
    <x v="8"/>
    <x v="1"/>
    <x v="7"/>
    <x v="2"/>
  </r>
  <r>
    <s v="TX501267"/>
    <x v="19"/>
    <x v="2"/>
    <n v="30.5"/>
    <n v="91.5"/>
    <d v="2025-02-18T00:00:00"/>
    <d v="2025-02-20T00:00:00"/>
    <x v="1"/>
    <x v="1"/>
    <x v="0"/>
    <x v="0"/>
    <x v="8"/>
    <x v="1"/>
    <x v="7"/>
    <x v="1"/>
  </r>
  <r>
    <s v="TX501268"/>
    <x v="18"/>
    <x v="13"/>
    <n v="68.3"/>
    <n v="409.79999999999995"/>
    <d v="2025-02-18T00:00:00"/>
    <d v="2025-02-21T00:00:00"/>
    <x v="1"/>
    <x v="0"/>
    <x v="0"/>
    <x v="0"/>
    <x v="8"/>
    <x v="2"/>
    <x v="7"/>
    <x v="1"/>
  </r>
  <r>
    <s v="TX501269"/>
    <x v="7"/>
    <x v="2"/>
    <n v="43.3"/>
    <n v="129.89999999999998"/>
    <d v="2025-02-18T00:00:00"/>
    <d v="2025-02-22T00:00:00"/>
    <x v="2"/>
    <x v="0"/>
    <x v="0"/>
    <x v="0"/>
    <x v="17"/>
    <x v="5"/>
    <x v="7"/>
    <x v="2"/>
  </r>
  <r>
    <s v="TX501270"/>
    <x v="3"/>
    <x v="0"/>
    <n v="101.7"/>
    <n v="101.7"/>
    <d v="2025-02-18T00:00:00"/>
    <d v="2025-02-21T00:00:00"/>
    <x v="2"/>
    <x v="0"/>
    <x v="1"/>
    <x v="0"/>
    <x v="17"/>
    <x v="2"/>
    <x v="7"/>
    <x v="2"/>
  </r>
  <r>
    <s v="TX501271"/>
    <x v="11"/>
    <x v="1"/>
    <n v="54.2"/>
    <n v="108.4"/>
    <d v="2025-02-18T00:00:00"/>
    <d v="2025-02-19T00:00:00"/>
    <x v="2"/>
    <x v="0"/>
    <x v="1"/>
    <x v="0"/>
    <x v="17"/>
    <x v="3"/>
    <x v="7"/>
    <x v="2"/>
  </r>
  <r>
    <s v="TX501272"/>
    <x v="16"/>
    <x v="1"/>
    <n v="51"/>
    <n v="102"/>
    <d v="2025-02-18T00:00:00"/>
    <d v="2025-02-18T00:00:00"/>
    <x v="1"/>
    <x v="1"/>
    <x v="0"/>
    <x v="0"/>
    <x v="26"/>
    <x v="7"/>
    <x v="7"/>
    <x v="1"/>
  </r>
  <r>
    <s v="TX501273"/>
    <x v="4"/>
    <x v="1"/>
    <n v="23.1"/>
    <n v="46.2"/>
    <d v="2025-02-18T00:00:00"/>
    <d v="2025-02-21T00:00:00"/>
    <x v="1"/>
    <x v="1"/>
    <x v="0"/>
    <x v="0"/>
    <x v="10"/>
    <x v="2"/>
    <x v="7"/>
    <x v="1"/>
  </r>
  <r>
    <s v="TX501274"/>
    <x v="12"/>
    <x v="13"/>
    <n v="60.1"/>
    <n v="360.6"/>
    <d v="2025-02-18T00:00:00"/>
    <d v="2025-02-18T00:00:00"/>
    <x v="2"/>
    <x v="3"/>
    <x v="0"/>
    <x v="0"/>
    <x v="11"/>
    <x v="7"/>
    <x v="7"/>
    <x v="2"/>
  </r>
  <r>
    <s v="TX501275"/>
    <x v="2"/>
    <x v="3"/>
    <n v="87.5"/>
    <n v="612.5"/>
    <d v="2025-02-18T00:00:00"/>
    <d v="2025-02-20T00:00:00"/>
    <x v="2"/>
    <x v="0"/>
    <x v="1"/>
    <x v="0"/>
    <x v="11"/>
    <x v="1"/>
    <x v="7"/>
    <x v="2"/>
  </r>
  <r>
    <s v="TX501276"/>
    <x v="1"/>
    <x v="2"/>
    <n v="51"/>
    <n v="153"/>
    <d v="2025-02-18T00:00:00"/>
    <d v="2025-02-19T00:00:00"/>
    <x v="2"/>
    <x v="1"/>
    <x v="0"/>
    <x v="0"/>
    <x v="11"/>
    <x v="3"/>
    <x v="7"/>
    <x v="2"/>
  </r>
  <r>
    <s v="TX501277"/>
    <x v="8"/>
    <x v="12"/>
    <n v="19.2"/>
    <n v="76.8"/>
    <d v="2025-02-18T00:00:00"/>
    <d v="2025-02-20T00:00:00"/>
    <x v="2"/>
    <x v="0"/>
    <x v="0"/>
    <x v="0"/>
    <x v="11"/>
    <x v="1"/>
    <x v="7"/>
    <x v="2"/>
  </r>
  <r>
    <s v="TX501278"/>
    <x v="5"/>
    <x v="8"/>
    <n v="26.5"/>
    <n v="212"/>
    <d v="2025-02-18T00:00:00"/>
    <d v="2025-02-19T00:00:00"/>
    <x v="0"/>
    <x v="3"/>
    <x v="2"/>
    <x v="0"/>
    <x v="11"/>
    <x v="3"/>
    <x v="7"/>
    <x v="0"/>
  </r>
  <r>
    <s v="TX501279"/>
    <x v="2"/>
    <x v="1"/>
    <n v="220.3"/>
    <n v="440.6"/>
    <d v="2025-02-18T00:00:00"/>
    <d v="2025-02-19T00:00:00"/>
    <x v="2"/>
    <x v="1"/>
    <x v="4"/>
    <x v="0"/>
    <x v="53"/>
    <x v="3"/>
    <x v="7"/>
    <x v="2"/>
  </r>
  <r>
    <s v="TX501280"/>
    <x v="8"/>
    <x v="2"/>
    <n v="45.7"/>
    <n v="137.10000000000002"/>
    <d v="2025-02-18T00:00:00"/>
    <d v="2025-02-19T00:00:00"/>
    <x v="2"/>
    <x v="4"/>
    <x v="0"/>
    <x v="0"/>
    <x v="30"/>
    <x v="3"/>
    <x v="7"/>
    <x v="2"/>
  </r>
  <r>
    <s v="TX501281"/>
    <x v="5"/>
    <x v="9"/>
    <n v="47.1"/>
    <n v="235.5"/>
    <d v="2025-02-18T00:00:00"/>
    <d v="2025-02-22T00:00:00"/>
    <x v="2"/>
    <x v="3"/>
    <x v="0"/>
    <x v="0"/>
    <x v="13"/>
    <x v="5"/>
    <x v="7"/>
    <x v="2"/>
  </r>
  <r>
    <s v="TX501282"/>
    <x v="1"/>
    <x v="9"/>
    <n v="81.7"/>
    <n v="408.5"/>
    <d v="2025-02-18T00:00:00"/>
    <d v="2025-02-19T00:00:00"/>
    <x v="2"/>
    <x v="0"/>
    <x v="2"/>
    <x v="0"/>
    <x v="21"/>
    <x v="3"/>
    <x v="7"/>
    <x v="2"/>
  </r>
  <r>
    <s v="TX501283"/>
    <x v="6"/>
    <x v="7"/>
    <n v="97.8"/>
    <n v="978"/>
    <d v="2025-02-18T00:00:00"/>
    <d v="2025-02-18T00:00:00"/>
    <x v="1"/>
    <x v="1"/>
    <x v="1"/>
    <x v="0"/>
    <x v="21"/>
    <x v="7"/>
    <x v="7"/>
    <x v="1"/>
  </r>
  <r>
    <s v="TX501284"/>
    <x v="6"/>
    <x v="2"/>
    <n v="42.4"/>
    <n v="127.19999999999999"/>
    <d v="2025-02-18T00:00:00"/>
    <d v="2025-02-19T00:00:00"/>
    <x v="2"/>
    <x v="0"/>
    <x v="2"/>
    <x v="0"/>
    <x v="54"/>
    <x v="3"/>
    <x v="7"/>
    <x v="2"/>
  </r>
  <r>
    <s v="TX501285"/>
    <x v="2"/>
    <x v="7"/>
    <n v="74.5"/>
    <n v="745"/>
    <d v="2025-02-18T00:00:00"/>
    <d v="2025-02-19T00:00:00"/>
    <x v="1"/>
    <x v="2"/>
    <x v="1"/>
    <x v="0"/>
    <x v="1"/>
    <x v="3"/>
    <x v="7"/>
    <x v="1"/>
  </r>
  <r>
    <s v="TX501286"/>
    <x v="17"/>
    <x v="13"/>
    <n v="47.4"/>
    <n v="284.39999999999998"/>
    <d v="2025-02-18T00:00:00"/>
    <d v="2025-02-19T00:00:00"/>
    <x v="1"/>
    <x v="1"/>
    <x v="0"/>
    <x v="0"/>
    <x v="1"/>
    <x v="3"/>
    <x v="7"/>
    <x v="1"/>
  </r>
  <r>
    <s v="TX501287"/>
    <x v="14"/>
    <x v="2"/>
    <n v="17.3"/>
    <n v="51.900000000000006"/>
    <d v="2025-02-19T00:00:00"/>
    <d v="2025-02-22T00:00:00"/>
    <x v="1"/>
    <x v="2"/>
    <x v="2"/>
    <x v="0"/>
    <x v="1"/>
    <x v="2"/>
    <x v="7"/>
    <x v="1"/>
  </r>
  <r>
    <s v="TX501288"/>
    <x v="12"/>
    <x v="12"/>
    <n v="77.900000000000006"/>
    <n v="311.60000000000002"/>
    <d v="2025-02-19T00:00:00"/>
    <d v="2025-02-20T00:00:00"/>
    <x v="1"/>
    <x v="1"/>
    <x v="0"/>
    <x v="0"/>
    <x v="2"/>
    <x v="3"/>
    <x v="7"/>
    <x v="1"/>
  </r>
  <r>
    <s v="TX501289"/>
    <x v="8"/>
    <x v="0"/>
    <n v="29.1"/>
    <n v="29.1"/>
    <d v="2025-02-19T00:00:00"/>
    <d v="2025-02-22T00:00:00"/>
    <x v="1"/>
    <x v="0"/>
    <x v="2"/>
    <x v="0"/>
    <x v="50"/>
    <x v="2"/>
    <x v="7"/>
    <x v="1"/>
  </r>
  <r>
    <s v="TX501290"/>
    <x v="8"/>
    <x v="0"/>
    <n v="49"/>
    <n v="49"/>
    <d v="2025-02-19T00:00:00"/>
    <d v="2025-02-20T00:00:00"/>
    <x v="1"/>
    <x v="1"/>
    <x v="0"/>
    <x v="0"/>
    <x v="3"/>
    <x v="3"/>
    <x v="7"/>
    <x v="1"/>
  </r>
  <r>
    <s v="TX501291"/>
    <x v="8"/>
    <x v="13"/>
    <n v="21.1"/>
    <n v="126.60000000000001"/>
    <d v="2025-02-19T00:00:00"/>
    <d v="2025-02-26T00:00:00"/>
    <x v="1"/>
    <x v="0"/>
    <x v="2"/>
    <x v="0"/>
    <x v="3"/>
    <x v="6"/>
    <x v="7"/>
    <x v="1"/>
  </r>
  <r>
    <s v="TX501292"/>
    <x v="4"/>
    <x v="10"/>
    <n v="36.9"/>
    <n v="701.1"/>
    <d v="2025-02-19T00:00:00"/>
    <d v="2025-02-19T00:00:00"/>
    <x v="2"/>
    <x v="0"/>
    <x v="0"/>
    <x v="0"/>
    <x v="3"/>
    <x v="7"/>
    <x v="7"/>
    <x v="2"/>
  </r>
  <r>
    <s v="TX501293"/>
    <x v="1"/>
    <x v="7"/>
    <n v="92.6"/>
    <n v="926"/>
    <d v="2025-02-19T00:00:00"/>
    <d v="2025-02-24T00:00:00"/>
    <x v="1"/>
    <x v="4"/>
    <x v="2"/>
    <x v="0"/>
    <x v="3"/>
    <x v="0"/>
    <x v="7"/>
    <x v="1"/>
  </r>
  <r>
    <s v="TX501294"/>
    <x v="10"/>
    <x v="1"/>
    <n v="38"/>
    <n v="76"/>
    <d v="2025-02-19T00:00:00"/>
    <d v="2025-02-20T00:00:00"/>
    <x v="1"/>
    <x v="1"/>
    <x v="1"/>
    <x v="0"/>
    <x v="3"/>
    <x v="3"/>
    <x v="7"/>
    <x v="1"/>
  </r>
  <r>
    <s v="TX501295"/>
    <x v="5"/>
    <x v="2"/>
    <n v="54.8"/>
    <n v="164.39999999999998"/>
    <d v="2025-02-19T00:00:00"/>
    <d v="2025-02-23T00:00:00"/>
    <x v="0"/>
    <x v="0"/>
    <x v="1"/>
    <x v="0"/>
    <x v="3"/>
    <x v="5"/>
    <x v="7"/>
    <x v="0"/>
  </r>
  <r>
    <s v="TX501296"/>
    <x v="10"/>
    <x v="4"/>
    <n v="56.8"/>
    <n v="681.59999999999991"/>
    <d v="2025-02-19T00:00:00"/>
    <d v="2025-02-21T00:00:00"/>
    <x v="1"/>
    <x v="1"/>
    <x v="0"/>
    <x v="0"/>
    <x v="3"/>
    <x v="1"/>
    <x v="7"/>
    <x v="1"/>
  </r>
  <r>
    <s v="TX501297"/>
    <x v="11"/>
    <x v="40"/>
    <n v="47.2"/>
    <n v="1557.6000000000001"/>
    <d v="2025-02-19T00:00:00"/>
    <d v="2025-02-22T00:00:00"/>
    <x v="2"/>
    <x v="1"/>
    <x v="0"/>
    <x v="0"/>
    <x v="3"/>
    <x v="2"/>
    <x v="7"/>
    <x v="2"/>
  </r>
  <r>
    <s v="TX501298"/>
    <x v="7"/>
    <x v="13"/>
    <n v="45.1"/>
    <n v="270.60000000000002"/>
    <d v="2025-02-19T00:00:00"/>
    <d v="2025-02-20T00:00:00"/>
    <x v="2"/>
    <x v="2"/>
    <x v="0"/>
    <x v="0"/>
    <x v="43"/>
    <x v="3"/>
    <x v="7"/>
    <x v="2"/>
  </r>
  <r>
    <s v="TX501299"/>
    <x v="4"/>
    <x v="4"/>
    <n v="25.2"/>
    <n v="302.39999999999998"/>
    <d v="2025-02-19T00:00:00"/>
    <d v="2025-02-24T00:00:00"/>
    <x v="2"/>
    <x v="2"/>
    <x v="0"/>
    <x v="0"/>
    <x v="16"/>
    <x v="0"/>
    <x v="7"/>
    <x v="2"/>
  </r>
  <r>
    <s v="TX501300"/>
    <x v="8"/>
    <x v="0"/>
    <n v="22"/>
    <n v="22"/>
    <d v="2025-02-19T00:00:00"/>
    <d v="2025-02-20T00:00:00"/>
    <x v="2"/>
    <x v="0"/>
    <x v="0"/>
    <x v="0"/>
    <x v="5"/>
    <x v="3"/>
    <x v="7"/>
    <x v="2"/>
  </r>
  <r>
    <s v="TX501301"/>
    <x v="6"/>
    <x v="1"/>
    <n v="42.2"/>
    <n v="84.4"/>
    <d v="2025-02-19T00:00:00"/>
    <d v="2025-02-20T00:00:00"/>
    <x v="2"/>
    <x v="1"/>
    <x v="1"/>
    <x v="0"/>
    <x v="23"/>
    <x v="3"/>
    <x v="7"/>
    <x v="2"/>
  </r>
  <r>
    <s v="TX501302"/>
    <x v="13"/>
    <x v="2"/>
    <n v="20.5"/>
    <n v="61.5"/>
    <d v="2025-02-19T00:00:00"/>
    <d v="2025-02-20T00:00:00"/>
    <x v="1"/>
    <x v="0"/>
    <x v="1"/>
    <x v="0"/>
    <x v="6"/>
    <x v="3"/>
    <x v="7"/>
    <x v="1"/>
  </r>
  <r>
    <s v="TX501303"/>
    <x v="2"/>
    <x v="0"/>
    <n v="190.4"/>
    <n v="190.4"/>
    <d v="2025-02-19T00:00:00"/>
    <d v="2025-02-24T00:00:00"/>
    <x v="1"/>
    <x v="1"/>
    <x v="4"/>
    <x v="0"/>
    <x v="6"/>
    <x v="0"/>
    <x v="7"/>
    <x v="1"/>
  </r>
  <r>
    <s v="TX501304"/>
    <x v="2"/>
    <x v="0"/>
    <n v="121.9"/>
    <n v="121.9"/>
    <d v="2025-02-19T00:00:00"/>
    <d v="2025-02-21T00:00:00"/>
    <x v="2"/>
    <x v="1"/>
    <x v="2"/>
    <x v="0"/>
    <x v="6"/>
    <x v="1"/>
    <x v="7"/>
    <x v="2"/>
  </r>
  <r>
    <s v="TX501305"/>
    <x v="2"/>
    <x v="13"/>
    <n v="149.19999999999999"/>
    <n v="895.19999999999993"/>
    <d v="2025-02-19T00:00:00"/>
    <d v="2025-02-20T00:00:00"/>
    <x v="2"/>
    <x v="2"/>
    <x v="2"/>
    <x v="0"/>
    <x v="7"/>
    <x v="3"/>
    <x v="7"/>
    <x v="2"/>
  </r>
  <r>
    <s v="TX501306"/>
    <x v="2"/>
    <x v="0"/>
    <n v="54.1"/>
    <n v="54.1"/>
    <d v="2025-02-19T00:00:00"/>
    <d v="2025-02-28T00:00:00"/>
    <x v="2"/>
    <x v="2"/>
    <x v="2"/>
    <x v="0"/>
    <x v="7"/>
    <x v="8"/>
    <x v="7"/>
    <x v="2"/>
  </r>
  <r>
    <s v="TX501307"/>
    <x v="5"/>
    <x v="1"/>
    <n v="27.4"/>
    <n v="54.8"/>
    <d v="2025-02-19T00:00:00"/>
    <d v="2025-02-21T00:00:00"/>
    <x v="1"/>
    <x v="1"/>
    <x v="0"/>
    <x v="0"/>
    <x v="8"/>
    <x v="1"/>
    <x v="7"/>
    <x v="1"/>
  </r>
  <r>
    <s v="TX501308"/>
    <x v="0"/>
    <x v="15"/>
    <n v="30.4"/>
    <n v="395.2"/>
    <d v="2025-02-19T00:00:00"/>
    <d v="2025-02-20T00:00:00"/>
    <x v="2"/>
    <x v="0"/>
    <x v="2"/>
    <x v="0"/>
    <x v="8"/>
    <x v="3"/>
    <x v="7"/>
    <x v="2"/>
  </r>
  <r>
    <s v="TX501309"/>
    <x v="12"/>
    <x v="2"/>
    <n v="46.2"/>
    <n v="138.60000000000002"/>
    <d v="2025-02-19T00:00:00"/>
    <d v="2025-02-21T00:00:00"/>
    <x v="1"/>
    <x v="2"/>
    <x v="1"/>
    <x v="0"/>
    <x v="17"/>
    <x v="1"/>
    <x v="7"/>
    <x v="1"/>
  </r>
  <r>
    <s v="TX501310"/>
    <x v="7"/>
    <x v="8"/>
    <n v="78.599999999999994"/>
    <n v="628.79999999999995"/>
    <d v="2025-02-19T00:00:00"/>
    <d v="2025-02-23T00:00:00"/>
    <x v="1"/>
    <x v="3"/>
    <x v="0"/>
    <x v="0"/>
    <x v="17"/>
    <x v="5"/>
    <x v="7"/>
    <x v="1"/>
  </r>
  <r>
    <s v="TX501311"/>
    <x v="17"/>
    <x v="7"/>
    <n v="25.9"/>
    <n v="259"/>
    <d v="2025-02-19T00:00:00"/>
    <d v="2025-02-25T00:00:00"/>
    <x v="1"/>
    <x v="4"/>
    <x v="0"/>
    <x v="0"/>
    <x v="9"/>
    <x v="4"/>
    <x v="7"/>
    <x v="1"/>
  </r>
  <r>
    <s v="TX501312"/>
    <x v="6"/>
    <x v="0"/>
    <n v="134.80000000000001"/>
    <n v="134.80000000000001"/>
    <d v="2025-02-19T00:00:00"/>
    <d v="2025-02-21T00:00:00"/>
    <x v="1"/>
    <x v="2"/>
    <x v="2"/>
    <x v="0"/>
    <x v="9"/>
    <x v="1"/>
    <x v="7"/>
    <x v="1"/>
  </r>
  <r>
    <s v="TX501313"/>
    <x v="15"/>
    <x v="9"/>
    <n v="43.1"/>
    <n v="215.5"/>
    <d v="2025-02-19T00:00:00"/>
    <d v="2025-02-21T00:00:00"/>
    <x v="2"/>
    <x v="0"/>
    <x v="0"/>
    <x v="0"/>
    <x v="11"/>
    <x v="1"/>
    <x v="7"/>
    <x v="2"/>
  </r>
  <r>
    <s v="TX501314"/>
    <x v="2"/>
    <x v="1"/>
    <n v="215.6"/>
    <n v="431.2"/>
    <d v="2025-02-19T00:00:00"/>
    <d v="2025-02-20T00:00:00"/>
    <x v="2"/>
    <x v="2"/>
    <x v="0"/>
    <x v="0"/>
    <x v="18"/>
    <x v="3"/>
    <x v="7"/>
    <x v="2"/>
  </r>
  <r>
    <s v="TX501315"/>
    <x v="6"/>
    <x v="1"/>
    <n v="80.7"/>
    <n v="161.4"/>
    <d v="2025-02-19T00:00:00"/>
    <d v="2025-02-22T00:00:00"/>
    <x v="2"/>
    <x v="3"/>
    <x v="0"/>
    <x v="0"/>
    <x v="18"/>
    <x v="2"/>
    <x v="7"/>
    <x v="2"/>
  </r>
  <r>
    <s v="TX501316"/>
    <x v="10"/>
    <x v="3"/>
    <n v="20.6"/>
    <n v="144.20000000000002"/>
    <d v="2025-02-19T00:00:00"/>
    <d v="2025-02-24T00:00:00"/>
    <x v="0"/>
    <x v="2"/>
    <x v="1"/>
    <x v="0"/>
    <x v="19"/>
    <x v="0"/>
    <x v="7"/>
    <x v="0"/>
  </r>
  <r>
    <s v="TX501317"/>
    <x v="12"/>
    <x v="2"/>
    <n v="37.1"/>
    <n v="111.30000000000001"/>
    <d v="2025-02-19T00:00:00"/>
    <d v="2025-02-20T00:00:00"/>
    <x v="2"/>
    <x v="0"/>
    <x v="0"/>
    <x v="0"/>
    <x v="52"/>
    <x v="3"/>
    <x v="7"/>
    <x v="2"/>
  </r>
  <r>
    <s v="TX501318"/>
    <x v="12"/>
    <x v="0"/>
    <n v="104.8"/>
    <n v="104.8"/>
    <d v="2025-02-20T00:00:00"/>
    <d v="2025-02-22T00:00:00"/>
    <x v="2"/>
    <x v="0"/>
    <x v="0"/>
    <x v="0"/>
    <x v="13"/>
    <x v="1"/>
    <x v="7"/>
    <x v="2"/>
  </r>
  <r>
    <s v="TX501319"/>
    <x v="8"/>
    <x v="1"/>
    <n v="59"/>
    <n v="118"/>
    <d v="2025-02-20T00:00:00"/>
    <d v="2025-02-21T00:00:00"/>
    <x v="1"/>
    <x v="1"/>
    <x v="0"/>
    <x v="0"/>
    <x v="21"/>
    <x v="3"/>
    <x v="7"/>
    <x v="1"/>
  </r>
  <r>
    <s v="TX501320"/>
    <x v="8"/>
    <x v="1"/>
    <n v="32.299999999999997"/>
    <n v="64.599999999999994"/>
    <d v="2025-02-20T00:00:00"/>
    <d v="2025-02-21T00:00:00"/>
    <x v="1"/>
    <x v="0"/>
    <x v="2"/>
    <x v="0"/>
    <x v="21"/>
    <x v="3"/>
    <x v="7"/>
    <x v="1"/>
  </r>
  <r>
    <s v="TX501321"/>
    <x v="8"/>
    <x v="12"/>
    <n v="28.9"/>
    <n v="115.6"/>
    <d v="2025-02-20T00:00:00"/>
    <d v="2025-02-27T00:00:00"/>
    <x v="1"/>
    <x v="0"/>
    <x v="0"/>
    <x v="0"/>
    <x v="1"/>
    <x v="6"/>
    <x v="7"/>
    <x v="1"/>
  </r>
  <r>
    <s v="TX501322"/>
    <x v="0"/>
    <x v="1"/>
    <n v="29.6"/>
    <n v="59.2"/>
    <d v="2025-02-20T00:00:00"/>
    <d v="2025-02-22T00:00:00"/>
    <x v="1"/>
    <x v="0"/>
    <x v="0"/>
    <x v="0"/>
    <x v="1"/>
    <x v="1"/>
    <x v="7"/>
    <x v="1"/>
  </r>
  <r>
    <s v="TX501323"/>
    <x v="0"/>
    <x v="9"/>
    <n v="29.4"/>
    <n v="147"/>
    <d v="2025-02-20T00:00:00"/>
    <d v="2025-02-23T00:00:00"/>
    <x v="2"/>
    <x v="0"/>
    <x v="0"/>
    <x v="0"/>
    <x v="1"/>
    <x v="2"/>
    <x v="7"/>
    <x v="2"/>
  </r>
  <r>
    <s v="TX501324"/>
    <x v="1"/>
    <x v="1"/>
    <n v="40.6"/>
    <n v="81.2"/>
    <d v="2025-02-20T00:00:00"/>
    <d v="2025-02-21T00:00:00"/>
    <x v="1"/>
    <x v="0"/>
    <x v="4"/>
    <x v="0"/>
    <x v="2"/>
    <x v="3"/>
    <x v="7"/>
    <x v="1"/>
  </r>
  <r>
    <s v="TX501325"/>
    <x v="0"/>
    <x v="2"/>
    <n v="32.5"/>
    <n v="97.5"/>
    <d v="2025-02-20T00:00:00"/>
    <d v="2025-02-21T00:00:00"/>
    <x v="1"/>
    <x v="3"/>
    <x v="2"/>
    <x v="0"/>
    <x v="22"/>
    <x v="3"/>
    <x v="7"/>
    <x v="1"/>
  </r>
  <r>
    <s v="TX501326"/>
    <x v="15"/>
    <x v="0"/>
    <n v="26.2"/>
    <n v="26.2"/>
    <d v="2025-02-20T00:00:00"/>
    <d v="2025-02-22T00:00:00"/>
    <x v="1"/>
    <x v="2"/>
    <x v="0"/>
    <x v="0"/>
    <x v="55"/>
    <x v="1"/>
    <x v="7"/>
    <x v="1"/>
  </r>
  <r>
    <s v="TX501327"/>
    <x v="10"/>
    <x v="17"/>
    <n v="44"/>
    <n v="1320"/>
    <d v="2025-02-20T00:00:00"/>
    <d v="2025-02-26T00:00:00"/>
    <x v="1"/>
    <x v="4"/>
    <x v="0"/>
    <x v="0"/>
    <x v="3"/>
    <x v="4"/>
    <x v="7"/>
    <x v="1"/>
  </r>
  <r>
    <s v="TX501328"/>
    <x v="7"/>
    <x v="12"/>
    <n v="65.599999999999994"/>
    <n v="262.39999999999998"/>
    <d v="2025-02-20T00:00:00"/>
    <d v="2025-02-21T00:00:00"/>
    <x v="2"/>
    <x v="1"/>
    <x v="1"/>
    <x v="0"/>
    <x v="3"/>
    <x v="3"/>
    <x v="7"/>
    <x v="2"/>
  </r>
  <r>
    <s v="TX501329"/>
    <x v="5"/>
    <x v="4"/>
    <n v="32.6"/>
    <n v="391.20000000000005"/>
    <d v="2025-02-20T00:00:00"/>
    <d v="2025-02-21T00:00:00"/>
    <x v="1"/>
    <x v="4"/>
    <x v="0"/>
    <x v="0"/>
    <x v="3"/>
    <x v="3"/>
    <x v="7"/>
    <x v="1"/>
  </r>
  <r>
    <s v="TX501330"/>
    <x v="16"/>
    <x v="1"/>
    <n v="88.7"/>
    <n v="177.4"/>
    <d v="2025-02-20T00:00:00"/>
    <d v="2025-02-21T00:00:00"/>
    <x v="0"/>
    <x v="3"/>
    <x v="2"/>
    <x v="0"/>
    <x v="3"/>
    <x v="3"/>
    <x v="7"/>
    <x v="0"/>
  </r>
  <r>
    <s v="TX501331"/>
    <x v="4"/>
    <x v="1"/>
    <n v="21.3"/>
    <n v="42.6"/>
    <d v="2025-02-20T00:00:00"/>
    <d v="2025-02-21T00:00:00"/>
    <x v="1"/>
    <x v="0"/>
    <x v="0"/>
    <x v="0"/>
    <x v="3"/>
    <x v="3"/>
    <x v="7"/>
    <x v="1"/>
  </r>
  <r>
    <s v="TX501332"/>
    <x v="4"/>
    <x v="13"/>
    <n v="50.6"/>
    <n v="303.60000000000002"/>
    <d v="2025-02-20T00:00:00"/>
    <d v="2025-02-24T00:00:00"/>
    <x v="2"/>
    <x v="2"/>
    <x v="0"/>
    <x v="0"/>
    <x v="3"/>
    <x v="5"/>
    <x v="7"/>
    <x v="2"/>
  </r>
  <r>
    <s v="TX501333"/>
    <x v="9"/>
    <x v="38"/>
    <n v="86.9"/>
    <n v="1824.9"/>
    <d v="2025-02-20T00:00:00"/>
    <d v="2025-02-23T00:00:00"/>
    <x v="2"/>
    <x v="0"/>
    <x v="1"/>
    <x v="0"/>
    <x v="3"/>
    <x v="2"/>
    <x v="7"/>
    <x v="2"/>
  </r>
  <r>
    <s v="TX501334"/>
    <x v="11"/>
    <x v="2"/>
    <n v="31.8"/>
    <n v="95.4"/>
    <d v="2025-02-20T00:00:00"/>
    <d v="2025-02-22T00:00:00"/>
    <x v="1"/>
    <x v="0"/>
    <x v="2"/>
    <x v="0"/>
    <x v="3"/>
    <x v="1"/>
    <x v="7"/>
    <x v="1"/>
  </r>
  <r>
    <s v="TX501335"/>
    <x v="8"/>
    <x v="0"/>
    <n v="19"/>
    <n v="19"/>
    <d v="2025-02-20T00:00:00"/>
    <d v="2025-02-21T00:00:00"/>
    <x v="2"/>
    <x v="0"/>
    <x v="2"/>
    <x v="0"/>
    <x v="3"/>
    <x v="3"/>
    <x v="7"/>
    <x v="2"/>
  </r>
  <r>
    <s v="TX501336"/>
    <x v="5"/>
    <x v="0"/>
    <n v="54.5"/>
    <n v="54.5"/>
    <d v="2025-02-20T00:00:00"/>
    <d v="2025-02-22T00:00:00"/>
    <x v="1"/>
    <x v="0"/>
    <x v="0"/>
    <x v="0"/>
    <x v="3"/>
    <x v="1"/>
    <x v="7"/>
    <x v="1"/>
  </r>
  <r>
    <s v="TX501337"/>
    <x v="9"/>
    <x v="9"/>
    <n v="68.900000000000006"/>
    <n v="344.5"/>
    <d v="2025-02-20T00:00:00"/>
    <d v="2025-02-22T00:00:00"/>
    <x v="1"/>
    <x v="4"/>
    <x v="1"/>
    <x v="0"/>
    <x v="3"/>
    <x v="1"/>
    <x v="7"/>
    <x v="1"/>
  </r>
  <r>
    <s v="TX501338"/>
    <x v="6"/>
    <x v="2"/>
    <n v="84"/>
    <n v="252"/>
    <d v="2025-02-20T00:00:00"/>
    <d v="2025-02-21T00:00:00"/>
    <x v="1"/>
    <x v="1"/>
    <x v="4"/>
    <x v="0"/>
    <x v="16"/>
    <x v="3"/>
    <x v="7"/>
    <x v="1"/>
  </r>
  <r>
    <s v="TX501339"/>
    <x v="15"/>
    <x v="8"/>
    <n v="23.1"/>
    <n v="184.8"/>
    <d v="2025-02-20T00:00:00"/>
    <d v="2025-02-25T00:00:00"/>
    <x v="1"/>
    <x v="0"/>
    <x v="2"/>
    <x v="0"/>
    <x v="23"/>
    <x v="0"/>
    <x v="7"/>
    <x v="1"/>
  </r>
  <r>
    <s v="TX501340"/>
    <x v="7"/>
    <x v="1"/>
    <n v="62.4"/>
    <n v="124.8"/>
    <d v="2025-02-20T00:00:00"/>
    <d v="2025-02-21T00:00:00"/>
    <x v="2"/>
    <x v="0"/>
    <x v="1"/>
    <x v="0"/>
    <x v="6"/>
    <x v="3"/>
    <x v="7"/>
    <x v="2"/>
  </r>
  <r>
    <s v="TX501341"/>
    <x v="6"/>
    <x v="4"/>
    <n v="40.700000000000003"/>
    <n v="488.40000000000003"/>
    <d v="2025-02-20T00:00:00"/>
    <d v="2025-02-22T00:00:00"/>
    <x v="1"/>
    <x v="1"/>
    <x v="2"/>
    <x v="0"/>
    <x v="6"/>
    <x v="1"/>
    <x v="7"/>
    <x v="1"/>
  </r>
  <r>
    <s v="TX501342"/>
    <x v="6"/>
    <x v="0"/>
    <n v="49.6"/>
    <n v="49.6"/>
    <d v="2025-02-20T00:00:00"/>
    <d v="2025-02-23T00:00:00"/>
    <x v="1"/>
    <x v="2"/>
    <x v="0"/>
    <x v="0"/>
    <x v="7"/>
    <x v="2"/>
    <x v="7"/>
    <x v="1"/>
  </r>
  <r>
    <s v="TX501343"/>
    <x v="7"/>
    <x v="41"/>
    <n v="66.599999999999994"/>
    <n v="2996.9999999999995"/>
    <d v="2025-02-20T00:00:00"/>
    <d v="2025-02-23T00:00:00"/>
    <x v="1"/>
    <x v="2"/>
    <x v="0"/>
    <x v="0"/>
    <x v="8"/>
    <x v="2"/>
    <x v="7"/>
    <x v="1"/>
  </r>
  <r>
    <s v="TX501344"/>
    <x v="8"/>
    <x v="2"/>
    <n v="26.4"/>
    <n v="79.199999999999989"/>
    <d v="2025-02-20T00:00:00"/>
    <d v="2025-02-21T00:00:00"/>
    <x v="2"/>
    <x v="1"/>
    <x v="1"/>
    <x v="0"/>
    <x v="8"/>
    <x v="3"/>
    <x v="7"/>
    <x v="2"/>
  </r>
  <r>
    <s v="TX501345"/>
    <x v="0"/>
    <x v="1"/>
    <n v="17.2"/>
    <n v="34.4"/>
    <d v="2025-02-20T00:00:00"/>
    <d v="2025-02-23T00:00:00"/>
    <x v="1"/>
    <x v="2"/>
    <x v="1"/>
    <x v="0"/>
    <x v="8"/>
    <x v="2"/>
    <x v="7"/>
    <x v="1"/>
  </r>
  <r>
    <s v="TX501346"/>
    <x v="5"/>
    <x v="8"/>
    <n v="58.1"/>
    <n v="464.8"/>
    <d v="2025-02-20T00:00:00"/>
    <d v="2025-02-23T00:00:00"/>
    <x v="2"/>
    <x v="4"/>
    <x v="0"/>
    <x v="0"/>
    <x v="8"/>
    <x v="2"/>
    <x v="7"/>
    <x v="2"/>
  </r>
  <r>
    <s v="TX501347"/>
    <x v="15"/>
    <x v="12"/>
    <n v="31.5"/>
    <n v="126"/>
    <d v="2025-02-20T00:00:00"/>
    <d v="2025-02-23T00:00:00"/>
    <x v="2"/>
    <x v="4"/>
    <x v="4"/>
    <x v="0"/>
    <x v="8"/>
    <x v="2"/>
    <x v="7"/>
    <x v="2"/>
  </r>
  <r>
    <s v="TX501348"/>
    <x v="0"/>
    <x v="0"/>
    <n v="27.1"/>
    <n v="27.1"/>
    <d v="2025-02-20T00:00:00"/>
    <d v="2025-02-22T00:00:00"/>
    <x v="2"/>
    <x v="0"/>
    <x v="1"/>
    <x v="0"/>
    <x v="17"/>
    <x v="1"/>
    <x v="7"/>
    <x v="2"/>
  </r>
  <r>
    <s v="TX501349"/>
    <x v="18"/>
    <x v="12"/>
    <n v="28.5"/>
    <n v="114"/>
    <d v="2025-02-20T00:00:00"/>
    <d v="2025-02-22T00:00:00"/>
    <x v="1"/>
    <x v="1"/>
    <x v="2"/>
    <x v="0"/>
    <x v="9"/>
    <x v="1"/>
    <x v="7"/>
    <x v="1"/>
  </r>
  <r>
    <s v="TX501350"/>
    <x v="10"/>
    <x v="0"/>
    <n v="40.5"/>
    <n v="40.5"/>
    <d v="2025-02-21T00:00:00"/>
    <d v="2025-02-23T00:00:00"/>
    <x v="3"/>
    <x v="2"/>
    <x v="0"/>
    <x v="0"/>
    <x v="9"/>
    <x v="1"/>
    <x v="7"/>
    <x v="3"/>
  </r>
  <r>
    <s v="TX501351"/>
    <x v="2"/>
    <x v="2"/>
    <n v="77.900000000000006"/>
    <n v="233.70000000000002"/>
    <d v="2025-02-21T00:00:00"/>
    <d v="2025-02-25T00:00:00"/>
    <x v="2"/>
    <x v="1"/>
    <x v="2"/>
    <x v="0"/>
    <x v="19"/>
    <x v="5"/>
    <x v="7"/>
    <x v="2"/>
  </r>
  <r>
    <s v="TX501352"/>
    <x v="18"/>
    <x v="12"/>
    <n v="37.1"/>
    <n v="148.4"/>
    <d v="2025-02-21T00:00:00"/>
    <d v="2025-02-23T00:00:00"/>
    <x v="1"/>
    <x v="4"/>
    <x v="2"/>
    <x v="0"/>
    <x v="19"/>
    <x v="1"/>
    <x v="7"/>
    <x v="1"/>
  </r>
  <r>
    <s v="TX501353"/>
    <x v="16"/>
    <x v="2"/>
    <n v="51.6"/>
    <n v="154.80000000000001"/>
    <d v="2025-02-21T00:00:00"/>
    <d v="2025-03-01T00:00:00"/>
    <x v="2"/>
    <x v="0"/>
    <x v="4"/>
    <x v="0"/>
    <x v="19"/>
    <x v="9"/>
    <x v="7"/>
    <x v="2"/>
  </r>
  <r>
    <s v="TX501354"/>
    <x v="7"/>
    <x v="2"/>
    <n v="98"/>
    <n v="294"/>
    <d v="2025-02-21T00:00:00"/>
    <d v="2025-02-22T00:00:00"/>
    <x v="1"/>
    <x v="1"/>
    <x v="1"/>
    <x v="0"/>
    <x v="19"/>
    <x v="3"/>
    <x v="7"/>
    <x v="1"/>
  </r>
  <r>
    <s v="TX501355"/>
    <x v="6"/>
    <x v="3"/>
    <n v="41.4"/>
    <n v="289.8"/>
    <d v="2025-02-21T00:00:00"/>
    <d v="2025-02-22T00:00:00"/>
    <x v="1"/>
    <x v="1"/>
    <x v="0"/>
    <x v="0"/>
    <x v="20"/>
    <x v="3"/>
    <x v="7"/>
    <x v="1"/>
  </r>
  <r>
    <s v="TX501356"/>
    <x v="11"/>
    <x v="8"/>
    <n v="34"/>
    <n v="272"/>
    <d v="2025-02-21T00:00:00"/>
    <d v="2025-02-26T00:00:00"/>
    <x v="2"/>
    <x v="0"/>
    <x v="2"/>
    <x v="0"/>
    <x v="52"/>
    <x v="0"/>
    <x v="7"/>
    <x v="2"/>
  </r>
  <r>
    <s v="TX501357"/>
    <x v="6"/>
    <x v="0"/>
    <n v="66.3"/>
    <n v="66.3"/>
    <d v="2025-02-21T00:00:00"/>
    <d v="2025-02-22T00:00:00"/>
    <x v="2"/>
    <x v="1"/>
    <x v="0"/>
    <x v="0"/>
    <x v="13"/>
    <x v="3"/>
    <x v="7"/>
    <x v="2"/>
  </r>
  <r>
    <s v="TX501358"/>
    <x v="7"/>
    <x v="0"/>
    <n v="33.5"/>
    <n v="33.5"/>
    <d v="2025-02-21T00:00:00"/>
    <d v="2025-02-25T00:00:00"/>
    <x v="1"/>
    <x v="2"/>
    <x v="0"/>
    <x v="0"/>
    <x v="13"/>
    <x v="5"/>
    <x v="7"/>
    <x v="1"/>
  </r>
  <r>
    <s v="TX501359"/>
    <x v="12"/>
    <x v="1"/>
    <n v="70.8"/>
    <n v="141.6"/>
    <d v="2025-02-21T00:00:00"/>
    <d v="2025-02-22T00:00:00"/>
    <x v="0"/>
    <x v="0"/>
    <x v="0"/>
    <x v="0"/>
    <x v="28"/>
    <x v="3"/>
    <x v="7"/>
    <x v="0"/>
  </r>
  <r>
    <s v="TX501360"/>
    <x v="6"/>
    <x v="1"/>
    <n v="127.6"/>
    <n v="255.2"/>
    <d v="2025-02-21T00:00:00"/>
    <d v="2025-02-22T00:00:00"/>
    <x v="1"/>
    <x v="0"/>
    <x v="0"/>
    <x v="0"/>
    <x v="21"/>
    <x v="3"/>
    <x v="7"/>
    <x v="1"/>
  </r>
  <r>
    <s v="TX501361"/>
    <x v="6"/>
    <x v="2"/>
    <n v="95.9"/>
    <n v="287.70000000000005"/>
    <d v="2025-02-21T00:00:00"/>
    <d v="2025-02-22T00:00:00"/>
    <x v="2"/>
    <x v="1"/>
    <x v="1"/>
    <x v="0"/>
    <x v="21"/>
    <x v="3"/>
    <x v="7"/>
    <x v="2"/>
  </r>
  <r>
    <s v="TX501362"/>
    <x v="2"/>
    <x v="1"/>
    <n v="78.099999999999994"/>
    <n v="156.19999999999999"/>
    <d v="2025-02-21T00:00:00"/>
    <d v="2025-02-22T00:00:00"/>
    <x v="1"/>
    <x v="0"/>
    <x v="0"/>
    <x v="0"/>
    <x v="1"/>
    <x v="3"/>
    <x v="7"/>
    <x v="1"/>
  </r>
  <r>
    <s v="TX501363"/>
    <x v="13"/>
    <x v="1"/>
    <n v="43.2"/>
    <n v="86.4"/>
    <d v="2025-02-21T00:00:00"/>
    <d v="2025-02-22T00:00:00"/>
    <x v="0"/>
    <x v="1"/>
    <x v="1"/>
    <x v="0"/>
    <x v="1"/>
    <x v="3"/>
    <x v="7"/>
    <x v="0"/>
  </r>
  <r>
    <s v="TX501364"/>
    <x v="8"/>
    <x v="12"/>
    <n v="28.4"/>
    <n v="113.6"/>
    <d v="2025-02-21T00:00:00"/>
    <d v="2025-02-27T00:00:00"/>
    <x v="1"/>
    <x v="2"/>
    <x v="0"/>
    <x v="0"/>
    <x v="3"/>
    <x v="4"/>
    <x v="7"/>
    <x v="1"/>
  </r>
  <r>
    <s v="TX501365"/>
    <x v="2"/>
    <x v="1"/>
    <n v="81.7"/>
    <n v="163.4"/>
    <d v="2025-02-21T00:00:00"/>
    <d v="2025-02-21T00:00:00"/>
    <x v="1"/>
    <x v="0"/>
    <x v="0"/>
    <x v="0"/>
    <x v="3"/>
    <x v="7"/>
    <x v="7"/>
    <x v="1"/>
  </r>
  <r>
    <s v="TX501366"/>
    <x v="18"/>
    <x v="1"/>
    <n v="56.7"/>
    <n v="113.4"/>
    <d v="2025-02-21T00:00:00"/>
    <d v="2025-02-23T00:00:00"/>
    <x v="0"/>
    <x v="0"/>
    <x v="2"/>
    <x v="0"/>
    <x v="3"/>
    <x v="1"/>
    <x v="7"/>
    <x v="0"/>
  </r>
  <r>
    <s v="TX501367"/>
    <x v="3"/>
    <x v="12"/>
    <n v="66.5"/>
    <n v="266"/>
    <d v="2025-02-21T00:00:00"/>
    <d v="2025-02-21T00:00:00"/>
    <x v="2"/>
    <x v="0"/>
    <x v="2"/>
    <x v="0"/>
    <x v="3"/>
    <x v="7"/>
    <x v="7"/>
    <x v="2"/>
  </r>
  <r>
    <s v="TX501368"/>
    <x v="1"/>
    <x v="1"/>
    <n v="105.3"/>
    <n v="210.6"/>
    <d v="2025-02-21T00:00:00"/>
    <d v="2025-02-25T00:00:00"/>
    <x v="1"/>
    <x v="0"/>
    <x v="1"/>
    <x v="0"/>
    <x v="3"/>
    <x v="5"/>
    <x v="7"/>
    <x v="1"/>
  </r>
  <r>
    <s v="TX501369"/>
    <x v="10"/>
    <x v="9"/>
    <n v="33.799999999999997"/>
    <n v="169"/>
    <d v="2025-02-21T00:00:00"/>
    <d v="2025-02-26T00:00:00"/>
    <x v="1"/>
    <x v="0"/>
    <x v="0"/>
    <x v="0"/>
    <x v="3"/>
    <x v="0"/>
    <x v="7"/>
    <x v="1"/>
  </r>
  <r>
    <s v="TX501370"/>
    <x v="6"/>
    <x v="2"/>
    <n v="63.4"/>
    <n v="190.2"/>
    <d v="2025-02-21T00:00:00"/>
    <d v="2025-02-26T00:00:00"/>
    <x v="1"/>
    <x v="3"/>
    <x v="1"/>
    <x v="0"/>
    <x v="24"/>
    <x v="0"/>
    <x v="7"/>
    <x v="1"/>
  </r>
  <r>
    <s v="TX501371"/>
    <x v="6"/>
    <x v="2"/>
    <n v="49"/>
    <n v="147"/>
    <d v="2025-02-21T00:00:00"/>
    <d v="2025-02-25T00:00:00"/>
    <x v="1"/>
    <x v="3"/>
    <x v="0"/>
    <x v="0"/>
    <x v="49"/>
    <x v="5"/>
    <x v="7"/>
    <x v="1"/>
  </r>
  <r>
    <s v="TX501372"/>
    <x v="1"/>
    <x v="1"/>
    <n v="40"/>
    <n v="80"/>
    <d v="2025-02-21T00:00:00"/>
    <d v="2025-02-22T00:00:00"/>
    <x v="2"/>
    <x v="4"/>
    <x v="1"/>
    <x v="0"/>
    <x v="23"/>
    <x v="3"/>
    <x v="7"/>
    <x v="2"/>
  </r>
  <r>
    <s v="TX501373"/>
    <x v="6"/>
    <x v="12"/>
    <n v="86.3"/>
    <n v="345.2"/>
    <d v="2025-02-21T00:00:00"/>
    <d v="2025-02-22T00:00:00"/>
    <x v="3"/>
    <x v="0"/>
    <x v="0"/>
    <x v="0"/>
    <x v="6"/>
    <x v="3"/>
    <x v="7"/>
    <x v="3"/>
  </r>
  <r>
    <s v="TX501374"/>
    <x v="6"/>
    <x v="0"/>
    <n v="51.6"/>
    <n v="51.6"/>
    <d v="2025-02-21T00:00:00"/>
    <d v="2025-02-23T00:00:00"/>
    <x v="2"/>
    <x v="2"/>
    <x v="2"/>
    <x v="0"/>
    <x v="6"/>
    <x v="1"/>
    <x v="7"/>
    <x v="2"/>
  </r>
  <r>
    <s v="TX501375"/>
    <x v="10"/>
    <x v="2"/>
    <n v="26.7"/>
    <n v="80.099999999999994"/>
    <d v="2025-02-21T00:00:00"/>
    <d v="2025-02-26T00:00:00"/>
    <x v="2"/>
    <x v="2"/>
    <x v="1"/>
    <x v="0"/>
    <x v="6"/>
    <x v="0"/>
    <x v="7"/>
    <x v="2"/>
  </r>
  <r>
    <s v="TX501376"/>
    <x v="18"/>
    <x v="1"/>
    <n v="68.099999999999994"/>
    <n v="136.19999999999999"/>
    <d v="2025-02-21T00:00:00"/>
    <d v="2025-02-22T00:00:00"/>
    <x v="1"/>
    <x v="0"/>
    <x v="1"/>
    <x v="0"/>
    <x v="6"/>
    <x v="3"/>
    <x v="7"/>
    <x v="1"/>
  </r>
  <r>
    <s v="TX501377"/>
    <x v="1"/>
    <x v="0"/>
    <n v="81.7"/>
    <n v="81.7"/>
    <d v="2025-02-21T00:00:00"/>
    <d v="2025-02-22T00:00:00"/>
    <x v="1"/>
    <x v="0"/>
    <x v="0"/>
    <x v="0"/>
    <x v="7"/>
    <x v="3"/>
    <x v="7"/>
    <x v="1"/>
  </r>
  <r>
    <s v="TX501378"/>
    <x v="18"/>
    <x v="7"/>
    <n v="25.1"/>
    <n v="251"/>
    <d v="2025-02-21T00:00:00"/>
    <d v="2025-02-24T00:00:00"/>
    <x v="1"/>
    <x v="3"/>
    <x v="1"/>
    <x v="0"/>
    <x v="8"/>
    <x v="2"/>
    <x v="7"/>
    <x v="1"/>
  </r>
  <r>
    <s v="TX501379"/>
    <x v="8"/>
    <x v="0"/>
    <n v="20.2"/>
    <n v="20.2"/>
    <d v="2025-02-21T00:00:00"/>
    <d v="2025-02-25T00:00:00"/>
    <x v="2"/>
    <x v="0"/>
    <x v="0"/>
    <x v="0"/>
    <x v="8"/>
    <x v="5"/>
    <x v="7"/>
    <x v="2"/>
  </r>
  <r>
    <s v="TX501380"/>
    <x v="8"/>
    <x v="2"/>
    <n v="15.4"/>
    <n v="46.2"/>
    <d v="2025-02-21T00:00:00"/>
    <d v="2025-02-22T00:00:00"/>
    <x v="1"/>
    <x v="1"/>
    <x v="2"/>
    <x v="0"/>
    <x v="8"/>
    <x v="3"/>
    <x v="7"/>
    <x v="1"/>
  </r>
  <r>
    <s v="TX501381"/>
    <x v="10"/>
    <x v="0"/>
    <n v="59.2"/>
    <n v="59.2"/>
    <d v="2025-02-21T00:00:00"/>
    <d v="2025-02-22T00:00:00"/>
    <x v="1"/>
    <x v="2"/>
    <x v="2"/>
    <x v="0"/>
    <x v="17"/>
    <x v="3"/>
    <x v="7"/>
    <x v="1"/>
  </r>
  <r>
    <s v="TX501382"/>
    <x v="0"/>
    <x v="0"/>
    <n v="46.7"/>
    <n v="46.7"/>
    <d v="2025-02-21T00:00:00"/>
    <d v="2025-02-26T00:00:00"/>
    <x v="1"/>
    <x v="0"/>
    <x v="0"/>
    <x v="0"/>
    <x v="17"/>
    <x v="0"/>
    <x v="7"/>
    <x v="1"/>
  </r>
  <r>
    <s v="TX501383"/>
    <x v="6"/>
    <x v="20"/>
    <n v="41.6"/>
    <n v="624"/>
    <d v="2025-02-21T00:00:00"/>
    <d v="2025-02-23T00:00:00"/>
    <x v="1"/>
    <x v="1"/>
    <x v="0"/>
    <x v="0"/>
    <x v="26"/>
    <x v="1"/>
    <x v="7"/>
    <x v="1"/>
  </r>
  <r>
    <s v="TX501384"/>
    <x v="8"/>
    <x v="1"/>
    <n v="19.2"/>
    <n v="38.4"/>
    <d v="2025-02-21T00:00:00"/>
    <d v="2025-02-24T00:00:00"/>
    <x v="1"/>
    <x v="4"/>
    <x v="2"/>
    <x v="0"/>
    <x v="9"/>
    <x v="2"/>
    <x v="7"/>
    <x v="1"/>
  </r>
  <r>
    <s v="TX501385"/>
    <x v="17"/>
    <x v="3"/>
    <n v="41.8"/>
    <n v="292.59999999999997"/>
    <d v="2025-02-21T00:00:00"/>
    <d v="2025-02-23T00:00:00"/>
    <x v="2"/>
    <x v="2"/>
    <x v="0"/>
    <x v="0"/>
    <x v="11"/>
    <x v="1"/>
    <x v="7"/>
    <x v="2"/>
  </r>
  <r>
    <s v="TX501386"/>
    <x v="8"/>
    <x v="13"/>
    <n v="37.4"/>
    <n v="224.39999999999998"/>
    <d v="2025-02-21T00:00:00"/>
    <d v="2025-02-23T00:00:00"/>
    <x v="1"/>
    <x v="0"/>
    <x v="2"/>
    <x v="0"/>
    <x v="11"/>
    <x v="1"/>
    <x v="7"/>
    <x v="1"/>
  </r>
  <r>
    <s v="TX501387"/>
    <x v="10"/>
    <x v="2"/>
    <n v="60.2"/>
    <n v="180.60000000000002"/>
    <d v="2025-02-21T00:00:00"/>
    <d v="2025-02-24T00:00:00"/>
    <x v="1"/>
    <x v="4"/>
    <x v="1"/>
    <x v="0"/>
    <x v="38"/>
    <x v="2"/>
    <x v="7"/>
    <x v="1"/>
  </r>
  <r>
    <s v="TX501388"/>
    <x v="9"/>
    <x v="1"/>
    <n v="91.5"/>
    <n v="183"/>
    <d v="2025-02-22T00:00:00"/>
    <d v="2025-02-23T00:00:00"/>
    <x v="1"/>
    <x v="0"/>
    <x v="0"/>
    <x v="0"/>
    <x v="13"/>
    <x v="3"/>
    <x v="7"/>
    <x v="1"/>
  </r>
  <r>
    <s v="TX501389"/>
    <x v="3"/>
    <x v="9"/>
    <n v="55.7"/>
    <n v="278.5"/>
    <d v="2025-02-22T00:00:00"/>
    <d v="2025-02-24T00:00:00"/>
    <x v="0"/>
    <x v="1"/>
    <x v="2"/>
    <x v="0"/>
    <x v="21"/>
    <x v="1"/>
    <x v="7"/>
    <x v="0"/>
  </r>
  <r>
    <s v="TX501390"/>
    <x v="7"/>
    <x v="1"/>
    <n v="76.7"/>
    <n v="153.4"/>
    <d v="2025-02-22T00:00:00"/>
    <d v="2025-02-24T00:00:00"/>
    <x v="1"/>
    <x v="0"/>
    <x v="1"/>
    <x v="0"/>
    <x v="21"/>
    <x v="1"/>
    <x v="7"/>
    <x v="1"/>
  </r>
  <r>
    <s v="TX501391"/>
    <x v="8"/>
    <x v="38"/>
    <n v="28.2"/>
    <n v="592.19999999999993"/>
    <d v="2025-02-22T00:00:00"/>
    <d v="2025-02-27T00:00:00"/>
    <x v="1"/>
    <x v="2"/>
    <x v="0"/>
    <x v="0"/>
    <x v="1"/>
    <x v="0"/>
    <x v="7"/>
    <x v="1"/>
  </r>
  <r>
    <s v="TX501392"/>
    <x v="7"/>
    <x v="9"/>
    <n v="93.2"/>
    <n v="466"/>
    <d v="2025-02-22T00:00:00"/>
    <d v="2025-02-24T00:00:00"/>
    <x v="2"/>
    <x v="4"/>
    <x v="2"/>
    <x v="0"/>
    <x v="1"/>
    <x v="1"/>
    <x v="7"/>
    <x v="2"/>
  </r>
  <r>
    <s v="TX501393"/>
    <x v="17"/>
    <x v="0"/>
    <n v="33.299999999999997"/>
    <n v="33.299999999999997"/>
    <d v="2025-02-22T00:00:00"/>
    <d v="2025-02-23T00:00:00"/>
    <x v="1"/>
    <x v="4"/>
    <x v="0"/>
    <x v="0"/>
    <x v="2"/>
    <x v="3"/>
    <x v="7"/>
    <x v="1"/>
  </r>
  <r>
    <s v="TX501394"/>
    <x v="10"/>
    <x v="1"/>
    <n v="39.1"/>
    <n v="78.2"/>
    <d v="2025-02-22T00:00:00"/>
    <d v="2025-02-25T00:00:00"/>
    <x v="1"/>
    <x v="0"/>
    <x v="0"/>
    <x v="0"/>
    <x v="44"/>
    <x v="2"/>
    <x v="7"/>
    <x v="1"/>
  </r>
  <r>
    <s v="TX501395"/>
    <x v="7"/>
    <x v="4"/>
    <n v="45.3"/>
    <n v="543.59999999999991"/>
    <d v="2025-02-22T00:00:00"/>
    <d v="2025-02-23T00:00:00"/>
    <x v="1"/>
    <x v="2"/>
    <x v="0"/>
    <x v="0"/>
    <x v="33"/>
    <x v="3"/>
    <x v="7"/>
    <x v="1"/>
  </r>
  <r>
    <s v="TX501396"/>
    <x v="9"/>
    <x v="3"/>
    <n v="33.9"/>
    <n v="237.29999999999998"/>
    <d v="2025-02-22T00:00:00"/>
    <d v="2025-02-23T00:00:00"/>
    <x v="1"/>
    <x v="4"/>
    <x v="0"/>
    <x v="0"/>
    <x v="33"/>
    <x v="3"/>
    <x v="7"/>
    <x v="1"/>
  </r>
  <r>
    <s v="TX501397"/>
    <x v="8"/>
    <x v="2"/>
    <n v="19"/>
    <n v="57"/>
    <d v="2025-02-22T00:00:00"/>
    <d v="2025-02-23T00:00:00"/>
    <x v="1"/>
    <x v="0"/>
    <x v="2"/>
    <x v="0"/>
    <x v="15"/>
    <x v="3"/>
    <x v="7"/>
    <x v="1"/>
  </r>
  <r>
    <s v="TX501398"/>
    <x v="4"/>
    <x v="0"/>
    <n v="41.9"/>
    <n v="41.9"/>
    <d v="2025-02-22T00:00:00"/>
    <d v="2025-02-25T00:00:00"/>
    <x v="2"/>
    <x v="2"/>
    <x v="0"/>
    <x v="0"/>
    <x v="22"/>
    <x v="2"/>
    <x v="7"/>
    <x v="2"/>
  </r>
  <r>
    <s v="TX501399"/>
    <x v="1"/>
    <x v="12"/>
    <n v="37.5"/>
    <n v="150"/>
    <d v="2025-02-22T00:00:00"/>
    <d v="2025-02-22T00:00:00"/>
    <x v="2"/>
    <x v="0"/>
    <x v="0"/>
    <x v="0"/>
    <x v="3"/>
    <x v="7"/>
    <x v="7"/>
    <x v="2"/>
  </r>
  <r>
    <s v="TX501400"/>
    <x v="0"/>
    <x v="1"/>
    <n v="40.799999999999997"/>
    <n v="81.599999999999994"/>
    <d v="2025-02-22T00:00:00"/>
    <d v="2025-02-25T00:00:00"/>
    <x v="1"/>
    <x v="0"/>
    <x v="0"/>
    <x v="0"/>
    <x v="3"/>
    <x v="2"/>
    <x v="7"/>
    <x v="1"/>
  </r>
  <r>
    <s v="TX501401"/>
    <x v="0"/>
    <x v="12"/>
    <n v="23.1"/>
    <n v="92.4"/>
    <d v="2025-02-22T00:00:00"/>
    <d v="2025-02-23T00:00:00"/>
    <x v="2"/>
    <x v="4"/>
    <x v="0"/>
    <x v="0"/>
    <x v="3"/>
    <x v="3"/>
    <x v="7"/>
    <x v="2"/>
  </r>
  <r>
    <s v="TX501402"/>
    <x v="8"/>
    <x v="9"/>
    <n v="39.299999999999997"/>
    <n v="196.5"/>
    <d v="2025-02-22T00:00:00"/>
    <d v="2025-02-23T00:00:00"/>
    <x v="2"/>
    <x v="0"/>
    <x v="0"/>
    <x v="0"/>
    <x v="3"/>
    <x v="3"/>
    <x v="7"/>
    <x v="2"/>
  </r>
  <r>
    <s v="TX501403"/>
    <x v="2"/>
    <x v="12"/>
    <n v="85.2"/>
    <n v="340.8"/>
    <d v="2025-02-22T00:00:00"/>
    <d v="2025-02-27T00:00:00"/>
    <x v="1"/>
    <x v="2"/>
    <x v="0"/>
    <x v="0"/>
    <x v="3"/>
    <x v="0"/>
    <x v="7"/>
    <x v="1"/>
  </r>
  <r>
    <s v="TX501404"/>
    <x v="8"/>
    <x v="13"/>
    <n v="16"/>
    <n v="96"/>
    <d v="2025-02-22T00:00:00"/>
    <d v="2025-02-25T00:00:00"/>
    <x v="1"/>
    <x v="1"/>
    <x v="0"/>
    <x v="0"/>
    <x v="3"/>
    <x v="2"/>
    <x v="7"/>
    <x v="1"/>
  </r>
  <r>
    <s v="TX501405"/>
    <x v="1"/>
    <x v="1"/>
    <n v="33.799999999999997"/>
    <n v="67.599999999999994"/>
    <d v="2025-02-22T00:00:00"/>
    <d v="2025-02-26T00:00:00"/>
    <x v="2"/>
    <x v="1"/>
    <x v="0"/>
    <x v="0"/>
    <x v="3"/>
    <x v="5"/>
    <x v="7"/>
    <x v="2"/>
  </r>
  <r>
    <s v="TX501406"/>
    <x v="3"/>
    <x v="0"/>
    <n v="70"/>
    <n v="70"/>
    <d v="2025-02-22T00:00:00"/>
    <d v="2025-02-23T00:00:00"/>
    <x v="2"/>
    <x v="0"/>
    <x v="0"/>
    <x v="0"/>
    <x v="3"/>
    <x v="3"/>
    <x v="7"/>
    <x v="2"/>
  </r>
  <r>
    <s v="TX501407"/>
    <x v="9"/>
    <x v="0"/>
    <n v="88"/>
    <n v="88"/>
    <d v="2025-02-22T00:00:00"/>
    <d v="2025-02-27T00:00:00"/>
    <x v="2"/>
    <x v="3"/>
    <x v="0"/>
    <x v="0"/>
    <x v="3"/>
    <x v="0"/>
    <x v="7"/>
    <x v="2"/>
  </r>
  <r>
    <s v="TX501408"/>
    <x v="2"/>
    <x v="2"/>
    <n v="74.099999999999994"/>
    <n v="222.29999999999998"/>
    <d v="2025-02-22T00:00:00"/>
    <d v="2025-02-22T00:00:00"/>
    <x v="1"/>
    <x v="4"/>
    <x v="1"/>
    <x v="0"/>
    <x v="3"/>
    <x v="7"/>
    <x v="7"/>
    <x v="1"/>
  </r>
  <r>
    <s v="TX501409"/>
    <x v="2"/>
    <x v="0"/>
    <n v="161.9"/>
    <n v="161.9"/>
    <d v="2025-02-22T00:00:00"/>
    <d v="2025-02-24T00:00:00"/>
    <x v="1"/>
    <x v="2"/>
    <x v="0"/>
    <x v="0"/>
    <x v="3"/>
    <x v="1"/>
    <x v="7"/>
    <x v="1"/>
  </r>
  <r>
    <s v="TX501410"/>
    <x v="4"/>
    <x v="1"/>
    <n v="44"/>
    <n v="88"/>
    <d v="2025-02-22T00:00:00"/>
    <d v="2025-02-23T00:00:00"/>
    <x v="3"/>
    <x v="4"/>
    <x v="1"/>
    <x v="0"/>
    <x v="3"/>
    <x v="3"/>
    <x v="7"/>
    <x v="3"/>
  </r>
  <r>
    <s v="TX501411"/>
    <x v="11"/>
    <x v="0"/>
    <n v="32.1"/>
    <n v="32.1"/>
    <d v="2025-02-22T00:00:00"/>
    <d v="2025-02-22T00:00:00"/>
    <x v="2"/>
    <x v="3"/>
    <x v="3"/>
    <x v="0"/>
    <x v="3"/>
    <x v="7"/>
    <x v="7"/>
    <x v="2"/>
  </r>
  <r>
    <s v="TX501412"/>
    <x v="2"/>
    <x v="12"/>
    <n v="104.8"/>
    <n v="419.2"/>
    <d v="2025-02-23T00:00:00"/>
    <d v="2025-02-25T00:00:00"/>
    <x v="3"/>
    <x v="0"/>
    <x v="0"/>
    <x v="0"/>
    <x v="3"/>
    <x v="1"/>
    <x v="8"/>
    <x v="3"/>
  </r>
  <r>
    <s v="TX501413"/>
    <x v="9"/>
    <x v="13"/>
    <n v="67.400000000000006"/>
    <n v="404.40000000000003"/>
    <d v="2025-02-23T00:00:00"/>
    <d v="2025-02-24T00:00:00"/>
    <x v="2"/>
    <x v="3"/>
    <x v="0"/>
    <x v="0"/>
    <x v="3"/>
    <x v="3"/>
    <x v="8"/>
    <x v="2"/>
  </r>
  <r>
    <s v="TX501414"/>
    <x v="6"/>
    <x v="1"/>
    <n v="115.2"/>
    <n v="230.4"/>
    <d v="2025-02-23T00:00:00"/>
    <d v="2025-02-24T00:00:00"/>
    <x v="2"/>
    <x v="1"/>
    <x v="0"/>
    <x v="0"/>
    <x v="4"/>
    <x v="3"/>
    <x v="8"/>
    <x v="2"/>
  </r>
  <r>
    <s v="TX501415"/>
    <x v="8"/>
    <x v="19"/>
    <n v="15.5"/>
    <n v="449.5"/>
    <d v="2025-02-23T00:00:00"/>
    <d v="2025-02-25T00:00:00"/>
    <x v="2"/>
    <x v="0"/>
    <x v="1"/>
    <x v="0"/>
    <x v="23"/>
    <x v="1"/>
    <x v="8"/>
    <x v="2"/>
  </r>
  <r>
    <s v="TX501416"/>
    <x v="6"/>
    <x v="5"/>
    <n v="66.400000000000006"/>
    <n v="730.40000000000009"/>
    <d v="2025-02-23T00:00:00"/>
    <d v="2025-02-25T00:00:00"/>
    <x v="2"/>
    <x v="0"/>
    <x v="0"/>
    <x v="0"/>
    <x v="6"/>
    <x v="1"/>
    <x v="8"/>
    <x v="2"/>
  </r>
  <r>
    <s v="TX501417"/>
    <x v="9"/>
    <x v="4"/>
    <n v="68.099999999999994"/>
    <n v="817.19999999999993"/>
    <d v="2025-02-23T00:00:00"/>
    <d v="2025-02-24T00:00:00"/>
    <x v="2"/>
    <x v="2"/>
    <x v="0"/>
    <x v="0"/>
    <x v="8"/>
    <x v="3"/>
    <x v="8"/>
    <x v="2"/>
  </r>
  <r>
    <s v="TX501418"/>
    <x v="8"/>
    <x v="9"/>
    <n v="32.5"/>
    <n v="162.5"/>
    <d v="2025-02-23T00:00:00"/>
    <d v="2025-02-27T00:00:00"/>
    <x v="1"/>
    <x v="2"/>
    <x v="1"/>
    <x v="0"/>
    <x v="8"/>
    <x v="5"/>
    <x v="8"/>
    <x v="1"/>
  </r>
  <r>
    <s v="TX501419"/>
    <x v="15"/>
    <x v="2"/>
    <n v="61.2"/>
    <n v="183.60000000000002"/>
    <d v="2025-02-23T00:00:00"/>
    <d v="2025-02-25T00:00:00"/>
    <x v="2"/>
    <x v="1"/>
    <x v="1"/>
    <x v="0"/>
    <x v="8"/>
    <x v="1"/>
    <x v="8"/>
    <x v="2"/>
  </r>
  <r>
    <s v="TX501420"/>
    <x v="9"/>
    <x v="1"/>
    <n v="54.2"/>
    <n v="108.4"/>
    <d v="2025-02-23T00:00:00"/>
    <d v="2025-02-24T00:00:00"/>
    <x v="2"/>
    <x v="1"/>
    <x v="0"/>
    <x v="0"/>
    <x v="8"/>
    <x v="3"/>
    <x v="8"/>
    <x v="2"/>
  </r>
  <r>
    <s v="TX501421"/>
    <x v="11"/>
    <x v="8"/>
    <n v="28.7"/>
    <n v="229.6"/>
    <d v="2025-02-23T00:00:00"/>
    <d v="2025-02-25T00:00:00"/>
    <x v="1"/>
    <x v="1"/>
    <x v="0"/>
    <x v="0"/>
    <x v="9"/>
    <x v="1"/>
    <x v="8"/>
    <x v="1"/>
  </r>
  <r>
    <s v="TX501422"/>
    <x v="12"/>
    <x v="13"/>
    <n v="38.200000000000003"/>
    <n v="229.20000000000002"/>
    <d v="2025-02-23T00:00:00"/>
    <d v="2025-02-27T00:00:00"/>
    <x v="2"/>
    <x v="0"/>
    <x v="1"/>
    <x v="0"/>
    <x v="9"/>
    <x v="5"/>
    <x v="8"/>
    <x v="2"/>
  </r>
  <r>
    <s v="TX501423"/>
    <x v="8"/>
    <x v="4"/>
    <n v="17.600000000000001"/>
    <n v="211.20000000000002"/>
    <d v="2025-02-23T00:00:00"/>
    <d v="2025-02-24T00:00:00"/>
    <x v="2"/>
    <x v="2"/>
    <x v="1"/>
    <x v="0"/>
    <x v="9"/>
    <x v="3"/>
    <x v="8"/>
    <x v="2"/>
  </r>
  <r>
    <s v="TX501424"/>
    <x v="10"/>
    <x v="2"/>
    <n v="74.599999999999994"/>
    <n v="223.79999999999998"/>
    <d v="2025-02-23T00:00:00"/>
    <d v="2025-02-23T00:00:00"/>
    <x v="2"/>
    <x v="2"/>
    <x v="0"/>
    <x v="0"/>
    <x v="11"/>
    <x v="7"/>
    <x v="8"/>
    <x v="2"/>
  </r>
  <r>
    <s v="TX501425"/>
    <x v="16"/>
    <x v="20"/>
    <n v="72.599999999999994"/>
    <n v="1089"/>
    <d v="2025-02-23T00:00:00"/>
    <d v="2025-02-23T00:00:00"/>
    <x v="0"/>
    <x v="1"/>
    <x v="1"/>
    <x v="0"/>
    <x v="11"/>
    <x v="7"/>
    <x v="8"/>
    <x v="0"/>
  </r>
  <r>
    <s v="TX501426"/>
    <x v="7"/>
    <x v="0"/>
    <n v="62.3"/>
    <n v="62.3"/>
    <d v="2025-02-23T00:00:00"/>
    <d v="2025-02-24T00:00:00"/>
    <x v="2"/>
    <x v="1"/>
    <x v="0"/>
    <x v="0"/>
    <x v="11"/>
    <x v="3"/>
    <x v="8"/>
    <x v="2"/>
  </r>
  <r>
    <s v="TX501427"/>
    <x v="3"/>
    <x v="2"/>
    <n v="33.799999999999997"/>
    <n v="101.39999999999999"/>
    <d v="2025-02-23T00:00:00"/>
    <d v="2025-02-25T00:00:00"/>
    <x v="1"/>
    <x v="0"/>
    <x v="2"/>
    <x v="0"/>
    <x v="20"/>
    <x v="1"/>
    <x v="8"/>
    <x v="1"/>
  </r>
  <r>
    <s v="TX501428"/>
    <x v="9"/>
    <x v="0"/>
    <n v="85.7"/>
    <n v="85.7"/>
    <d v="2025-02-23T00:00:00"/>
    <d v="2025-02-26T00:00:00"/>
    <x v="1"/>
    <x v="3"/>
    <x v="1"/>
    <x v="0"/>
    <x v="21"/>
    <x v="2"/>
    <x v="8"/>
    <x v="1"/>
  </r>
  <r>
    <s v="TX501429"/>
    <x v="6"/>
    <x v="1"/>
    <n v="92.1"/>
    <n v="184.2"/>
    <d v="2025-02-23T00:00:00"/>
    <d v="2025-02-25T00:00:00"/>
    <x v="1"/>
    <x v="1"/>
    <x v="0"/>
    <x v="0"/>
    <x v="21"/>
    <x v="1"/>
    <x v="8"/>
    <x v="1"/>
  </r>
  <r>
    <s v="TX501430"/>
    <x v="16"/>
    <x v="2"/>
    <n v="65.099999999999994"/>
    <n v="195.29999999999998"/>
    <d v="2025-02-23T00:00:00"/>
    <d v="2025-02-26T00:00:00"/>
    <x v="1"/>
    <x v="0"/>
    <x v="0"/>
    <x v="0"/>
    <x v="1"/>
    <x v="2"/>
    <x v="8"/>
    <x v="1"/>
  </r>
  <r>
    <s v="TX501431"/>
    <x v="9"/>
    <x v="3"/>
    <n v="20.3"/>
    <n v="142.1"/>
    <d v="2025-02-23T00:00:00"/>
    <d v="2025-02-24T00:00:00"/>
    <x v="2"/>
    <x v="2"/>
    <x v="2"/>
    <x v="0"/>
    <x v="2"/>
    <x v="3"/>
    <x v="8"/>
    <x v="2"/>
  </r>
  <r>
    <s v="TX501432"/>
    <x v="19"/>
    <x v="1"/>
    <n v="29.8"/>
    <n v="59.6"/>
    <d v="2025-02-23T00:00:00"/>
    <d v="2025-02-25T00:00:00"/>
    <x v="2"/>
    <x v="1"/>
    <x v="2"/>
    <x v="0"/>
    <x v="34"/>
    <x v="1"/>
    <x v="8"/>
    <x v="2"/>
  </r>
  <r>
    <s v="TX501433"/>
    <x v="0"/>
    <x v="1"/>
    <n v="24.2"/>
    <n v="48.4"/>
    <d v="2025-02-23T00:00:00"/>
    <d v="2025-02-25T00:00:00"/>
    <x v="2"/>
    <x v="3"/>
    <x v="2"/>
    <x v="0"/>
    <x v="3"/>
    <x v="1"/>
    <x v="8"/>
    <x v="2"/>
  </r>
  <r>
    <s v="TX501434"/>
    <x v="3"/>
    <x v="0"/>
    <n v="57.3"/>
    <n v="57.3"/>
    <d v="2025-02-23T00:00:00"/>
    <d v="2025-02-25T00:00:00"/>
    <x v="1"/>
    <x v="0"/>
    <x v="0"/>
    <x v="0"/>
    <x v="3"/>
    <x v="1"/>
    <x v="8"/>
    <x v="1"/>
  </r>
  <r>
    <s v="TX501435"/>
    <x v="2"/>
    <x v="0"/>
    <n v="108.9"/>
    <n v="108.9"/>
    <d v="2025-02-23T00:00:00"/>
    <d v="2025-02-25T00:00:00"/>
    <x v="2"/>
    <x v="1"/>
    <x v="0"/>
    <x v="0"/>
    <x v="3"/>
    <x v="1"/>
    <x v="8"/>
    <x v="2"/>
  </r>
  <r>
    <s v="TX501436"/>
    <x v="7"/>
    <x v="9"/>
    <n v="50.7"/>
    <n v="253.5"/>
    <d v="2025-02-23T00:00:00"/>
    <d v="2025-02-24T00:00:00"/>
    <x v="2"/>
    <x v="0"/>
    <x v="0"/>
    <x v="0"/>
    <x v="3"/>
    <x v="3"/>
    <x v="8"/>
    <x v="2"/>
  </r>
  <r>
    <s v="TX501437"/>
    <x v="7"/>
    <x v="11"/>
    <n v="66.099999999999994"/>
    <n v="594.9"/>
    <d v="2025-02-23T00:00:00"/>
    <d v="2025-03-09T00:00:00"/>
    <x v="2"/>
    <x v="1"/>
    <x v="0"/>
    <x v="0"/>
    <x v="3"/>
    <x v="12"/>
    <x v="8"/>
    <x v="2"/>
  </r>
  <r>
    <s v="TX501438"/>
    <x v="12"/>
    <x v="9"/>
    <n v="36.700000000000003"/>
    <n v="183.5"/>
    <d v="2025-02-23T00:00:00"/>
    <d v="2025-02-27T00:00:00"/>
    <x v="2"/>
    <x v="4"/>
    <x v="0"/>
    <x v="0"/>
    <x v="3"/>
    <x v="5"/>
    <x v="8"/>
    <x v="2"/>
  </r>
  <r>
    <s v="TX501439"/>
    <x v="8"/>
    <x v="14"/>
    <n v="19.3"/>
    <n v="328.1"/>
    <d v="2025-02-23T00:00:00"/>
    <d v="2025-02-25T00:00:00"/>
    <x v="1"/>
    <x v="0"/>
    <x v="0"/>
    <x v="0"/>
    <x v="43"/>
    <x v="1"/>
    <x v="8"/>
    <x v="1"/>
  </r>
  <r>
    <s v="TX501440"/>
    <x v="8"/>
    <x v="12"/>
    <n v="20.7"/>
    <n v="82.8"/>
    <d v="2025-02-23T00:00:00"/>
    <d v="2025-02-24T00:00:00"/>
    <x v="1"/>
    <x v="1"/>
    <x v="2"/>
    <x v="0"/>
    <x v="6"/>
    <x v="3"/>
    <x v="8"/>
    <x v="1"/>
  </r>
  <r>
    <s v="TX501441"/>
    <x v="5"/>
    <x v="2"/>
    <n v="54.7"/>
    <n v="164.10000000000002"/>
    <d v="2025-02-23T00:00:00"/>
    <d v="2025-02-23T00:00:00"/>
    <x v="3"/>
    <x v="1"/>
    <x v="4"/>
    <x v="0"/>
    <x v="6"/>
    <x v="7"/>
    <x v="8"/>
    <x v="3"/>
  </r>
  <r>
    <s v="TX501442"/>
    <x v="4"/>
    <x v="1"/>
    <n v="19.8"/>
    <n v="39.6"/>
    <d v="2025-02-23T00:00:00"/>
    <d v="2025-02-27T00:00:00"/>
    <x v="2"/>
    <x v="4"/>
    <x v="1"/>
    <x v="0"/>
    <x v="8"/>
    <x v="5"/>
    <x v="8"/>
    <x v="2"/>
  </r>
  <r>
    <s v="TX501443"/>
    <x v="7"/>
    <x v="0"/>
    <n v="41.1"/>
    <n v="41.1"/>
    <d v="2025-02-23T00:00:00"/>
    <d v="2025-02-25T00:00:00"/>
    <x v="2"/>
    <x v="0"/>
    <x v="2"/>
    <x v="0"/>
    <x v="8"/>
    <x v="1"/>
    <x v="8"/>
    <x v="2"/>
  </r>
  <r>
    <s v="TX501444"/>
    <x v="11"/>
    <x v="8"/>
    <n v="43.5"/>
    <n v="348"/>
    <d v="2025-02-23T00:00:00"/>
    <d v="2025-02-27T00:00:00"/>
    <x v="2"/>
    <x v="3"/>
    <x v="0"/>
    <x v="0"/>
    <x v="8"/>
    <x v="5"/>
    <x v="8"/>
    <x v="2"/>
  </r>
  <r>
    <s v="TX501445"/>
    <x v="8"/>
    <x v="21"/>
    <n v="19"/>
    <n v="266"/>
    <d v="2025-02-23T00:00:00"/>
    <d v="2025-02-24T00:00:00"/>
    <x v="1"/>
    <x v="0"/>
    <x v="0"/>
    <x v="0"/>
    <x v="26"/>
    <x v="3"/>
    <x v="8"/>
    <x v="1"/>
  </r>
  <r>
    <s v="TX501446"/>
    <x v="2"/>
    <x v="12"/>
    <n v="51.4"/>
    <n v="205.6"/>
    <d v="2025-02-23T00:00:00"/>
    <d v="2025-02-23T00:00:00"/>
    <x v="2"/>
    <x v="0"/>
    <x v="0"/>
    <x v="0"/>
    <x v="26"/>
    <x v="7"/>
    <x v="8"/>
    <x v="2"/>
  </r>
  <r>
    <s v="TX501447"/>
    <x v="10"/>
    <x v="1"/>
    <n v="39.799999999999997"/>
    <n v="79.599999999999994"/>
    <d v="2025-02-23T00:00:00"/>
    <d v="2025-02-26T00:00:00"/>
    <x v="1"/>
    <x v="3"/>
    <x v="1"/>
    <x v="0"/>
    <x v="13"/>
    <x v="2"/>
    <x v="8"/>
    <x v="1"/>
  </r>
  <r>
    <s v="TX501448"/>
    <x v="6"/>
    <x v="9"/>
    <n v="61"/>
    <n v="305"/>
    <d v="2025-02-23T00:00:00"/>
    <d v="2025-02-24T00:00:00"/>
    <x v="0"/>
    <x v="0"/>
    <x v="2"/>
    <x v="0"/>
    <x v="21"/>
    <x v="3"/>
    <x v="8"/>
    <x v="0"/>
  </r>
  <r>
    <s v="TX501449"/>
    <x v="8"/>
    <x v="5"/>
    <n v="15.1"/>
    <n v="166.1"/>
    <d v="2025-02-24T00:00:00"/>
    <d v="2025-03-01T00:00:00"/>
    <x v="1"/>
    <x v="3"/>
    <x v="2"/>
    <x v="0"/>
    <x v="2"/>
    <x v="0"/>
    <x v="8"/>
    <x v="1"/>
  </r>
  <r>
    <s v="TX501450"/>
    <x v="1"/>
    <x v="3"/>
    <n v="71.3"/>
    <n v="499.09999999999997"/>
    <d v="2025-02-24T00:00:00"/>
    <d v="2025-02-25T00:00:00"/>
    <x v="1"/>
    <x v="4"/>
    <x v="0"/>
    <x v="0"/>
    <x v="3"/>
    <x v="3"/>
    <x v="8"/>
    <x v="1"/>
  </r>
  <r>
    <s v="TX501451"/>
    <x v="10"/>
    <x v="0"/>
    <n v="25.8"/>
    <n v="25.8"/>
    <d v="2025-02-24T00:00:00"/>
    <d v="2025-02-26T00:00:00"/>
    <x v="2"/>
    <x v="0"/>
    <x v="2"/>
    <x v="0"/>
    <x v="3"/>
    <x v="1"/>
    <x v="8"/>
    <x v="2"/>
  </r>
  <r>
    <s v="TX501452"/>
    <x v="8"/>
    <x v="9"/>
    <n v="39.6"/>
    <n v="198"/>
    <d v="2025-02-24T00:00:00"/>
    <d v="2025-02-26T00:00:00"/>
    <x v="1"/>
    <x v="1"/>
    <x v="2"/>
    <x v="0"/>
    <x v="3"/>
    <x v="1"/>
    <x v="8"/>
    <x v="1"/>
  </r>
  <r>
    <s v="TX501453"/>
    <x v="5"/>
    <x v="1"/>
    <n v="64"/>
    <n v="128"/>
    <d v="2025-02-24T00:00:00"/>
    <d v="2025-02-24T00:00:00"/>
    <x v="1"/>
    <x v="1"/>
    <x v="1"/>
    <x v="0"/>
    <x v="3"/>
    <x v="7"/>
    <x v="8"/>
    <x v="1"/>
  </r>
  <r>
    <s v="TX501454"/>
    <x v="8"/>
    <x v="1"/>
    <n v="30.6"/>
    <n v="61.2"/>
    <d v="2025-02-24T00:00:00"/>
    <d v="2025-02-27T00:00:00"/>
    <x v="1"/>
    <x v="0"/>
    <x v="2"/>
    <x v="0"/>
    <x v="3"/>
    <x v="2"/>
    <x v="8"/>
    <x v="1"/>
  </r>
  <r>
    <s v="TX501455"/>
    <x v="8"/>
    <x v="1"/>
    <n v="21.3"/>
    <n v="42.6"/>
    <d v="2025-02-24T00:00:00"/>
    <d v="2025-02-25T00:00:00"/>
    <x v="1"/>
    <x v="0"/>
    <x v="1"/>
    <x v="0"/>
    <x v="3"/>
    <x v="3"/>
    <x v="8"/>
    <x v="1"/>
  </r>
  <r>
    <s v="TX501456"/>
    <x v="7"/>
    <x v="0"/>
    <n v="40.799999999999997"/>
    <n v="40.799999999999997"/>
    <d v="2025-02-24T00:00:00"/>
    <d v="2025-02-26T00:00:00"/>
    <x v="2"/>
    <x v="4"/>
    <x v="0"/>
    <x v="0"/>
    <x v="3"/>
    <x v="1"/>
    <x v="8"/>
    <x v="2"/>
  </r>
  <r>
    <s v="TX501457"/>
    <x v="9"/>
    <x v="12"/>
    <n v="27.7"/>
    <n v="110.8"/>
    <d v="2025-02-24T00:00:00"/>
    <d v="2025-02-25T00:00:00"/>
    <x v="2"/>
    <x v="0"/>
    <x v="1"/>
    <x v="0"/>
    <x v="3"/>
    <x v="3"/>
    <x v="8"/>
    <x v="2"/>
  </r>
  <r>
    <s v="TX501458"/>
    <x v="6"/>
    <x v="1"/>
    <n v="64.599999999999994"/>
    <n v="129.19999999999999"/>
    <d v="2025-02-24T00:00:00"/>
    <d v="2025-02-25T00:00:00"/>
    <x v="1"/>
    <x v="0"/>
    <x v="1"/>
    <x v="0"/>
    <x v="3"/>
    <x v="3"/>
    <x v="8"/>
    <x v="1"/>
  </r>
  <r>
    <s v="TX501459"/>
    <x v="6"/>
    <x v="27"/>
    <n v="91.1"/>
    <n v="1457.6"/>
    <d v="2025-02-24T00:00:00"/>
    <d v="2025-02-25T00:00:00"/>
    <x v="2"/>
    <x v="1"/>
    <x v="2"/>
    <x v="0"/>
    <x v="3"/>
    <x v="3"/>
    <x v="8"/>
    <x v="2"/>
  </r>
  <r>
    <s v="TX501460"/>
    <x v="1"/>
    <x v="0"/>
    <n v="39.5"/>
    <n v="39.5"/>
    <d v="2025-02-24T00:00:00"/>
    <d v="2025-03-04T00:00:00"/>
    <x v="2"/>
    <x v="0"/>
    <x v="0"/>
    <x v="0"/>
    <x v="3"/>
    <x v="9"/>
    <x v="8"/>
    <x v="2"/>
  </r>
  <r>
    <s v="TX501461"/>
    <x v="9"/>
    <x v="1"/>
    <n v="21.8"/>
    <n v="43.6"/>
    <d v="2025-02-24T00:00:00"/>
    <d v="2025-02-28T00:00:00"/>
    <x v="1"/>
    <x v="4"/>
    <x v="2"/>
    <x v="0"/>
    <x v="3"/>
    <x v="5"/>
    <x v="8"/>
    <x v="1"/>
  </r>
  <r>
    <s v="TX501462"/>
    <x v="8"/>
    <x v="1"/>
    <n v="51"/>
    <n v="102"/>
    <d v="2025-02-24T00:00:00"/>
    <d v="2025-02-27T00:00:00"/>
    <x v="1"/>
    <x v="3"/>
    <x v="2"/>
    <x v="0"/>
    <x v="3"/>
    <x v="2"/>
    <x v="8"/>
    <x v="1"/>
  </r>
  <r>
    <s v="TX501463"/>
    <x v="2"/>
    <x v="0"/>
    <n v="92.6"/>
    <n v="92.6"/>
    <d v="2025-02-24T00:00:00"/>
    <d v="2025-02-27T00:00:00"/>
    <x v="2"/>
    <x v="0"/>
    <x v="2"/>
    <x v="0"/>
    <x v="35"/>
    <x v="2"/>
    <x v="8"/>
    <x v="2"/>
  </r>
  <r>
    <s v="TX501464"/>
    <x v="9"/>
    <x v="1"/>
    <n v="31.1"/>
    <n v="62.2"/>
    <d v="2025-02-24T00:00:00"/>
    <d v="2025-03-01T00:00:00"/>
    <x v="0"/>
    <x v="1"/>
    <x v="3"/>
    <x v="0"/>
    <x v="23"/>
    <x v="0"/>
    <x v="8"/>
    <x v="0"/>
  </r>
  <r>
    <s v="TX501465"/>
    <x v="5"/>
    <x v="2"/>
    <n v="56.4"/>
    <n v="169.2"/>
    <d v="2025-02-24T00:00:00"/>
    <d v="2025-02-25T00:00:00"/>
    <x v="0"/>
    <x v="1"/>
    <x v="0"/>
    <x v="0"/>
    <x v="6"/>
    <x v="3"/>
    <x v="8"/>
    <x v="0"/>
  </r>
  <r>
    <s v="TX501466"/>
    <x v="9"/>
    <x v="0"/>
    <n v="41.9"/>
    <n v="41.9"/>
    <d v="2025-02-24T00:00:00"/>
    <d v="2025-02-24T00:00:00"/>
    <x v="1"/>
    <x v="1"/>
    <x v="0"/>
    <x v="0"/>
    <x v="6"/>
    <x v="7"/>
    <x v="8"/>
    <x v="1"/>
  </r>
  <r>
    <s v="TX501467"/>
    <x v="10"/>
    <x v="3"/>
    <n v="45.9"/>
    <n v="321.3"/>
    <d v="2025-02-24T00:00:00"/>
    <d v="2025-02-25T00:00:00"/>
    <x v="1"/>
    <x v="3"/>
    <x v="2"/>
    <x v="0"/>
    <x v="8"/>
    <x v="3"/>
    <x v="8"/>
    <x v="1"/>
  </r>
  <r>
    <s v="TX501468"/>
    <x v="14"/>
    <x v="11"/>
    <n v="24.4"/>
    <n v="219.6"/>
    <d v="2025-02-24T00:00:00"/>
    <d v="2025-02-28T00:00:00"/>
    <x v="1"/>
    <x v="3"/>
    <x v="2"/>
    <x v="0"/>
    <x v="8"/>
    <x v="5"/>
    <x v="8"/>
    <x v="1"/>
  </r>
  <r>
    <s v="TX501469"/>
    <x v="8"/>
    <x v="0"/>
    <n v="18.2"/>
    <n v="18.2"/>
    <d v="2025-02-24T00:00:00"/>
    <d v="2025-02-25T00:00:00"/>
    <x v="2"/>
    <x v="2"/>
    <x v="2"/>
    <x v="0"/>
    <x v="8"/>
    <x v="3"/>
    <x v="8"/>
    <x v="2"/>
  </r>
  <r>
    <s v="TX501470"/>
    <x v="8"/>
    <x v="12"/>
    <n v="51.2"/>
    <n v="204.8"/>
    <d v="2025-02-24T00:00:00"/>
    <d v="2025-02-25T00:00:00"/>
    <x v="2"/>
    <x v="0"/>
    <x v="0"/>
    <x v="0"/>
    <x v="8"/>
    <x v="3"/>
    <x v="8"/>
    <x v="2"/>
  </r>
  <r>
    <s v="TX501471"/>
    <x v="6"/>
    <x v="0"/>
    <n v="59.7"/>
    <n v="59.7"/>
    <d v="2025-02-24T00:00:00"/>
    <d v="2025-02-27T00:00:00"/>
    <x v="1"/>
    <x v="0"/>
    <x v="2"/>
    <x v="0"/>
    <x v="8"/>
    <x v="2"/>
    <x v="8"/>
    <x v="1"/>
  </r>
  <r>
    <s v="TX501472"/>
    <x v="4"/>
    <x v="1"/>
    <n v="33.6"/>
    <n v="67.2"/>
    <d v="2025-02-24T00:00:00"/>
    <d v="2025-02-26T00:00:00"/>
    <x v="2"/>
    <x v="0"/>
    <x v="0"/>
    <x v="0"/>
    <x v="17"/>
    <x v="1"/>
    <x v="8"/>
    <x v="2"/>
  </r>
  <r>
    <s v="TX501473"/>
    <x v="12"/>
    <x v="0"/>
    <n v="90.4"/>
    <n v="90.4"/>
    <d v="2025-02-24T00:00:00"/>
    <d v="2025-02-28T00:00:00"/>
    <x v="1"/>
    <x v="1"/>
    <x v="2"/>
    <x v="0"/>
    <x v="10"/>
    <x v="5"/>
    <x v="8"/>
    <x v="1"/>
  </r>
  <r>
    <s v="TX501474"/>
    <x v="11"/>
    <x v="2"/>
    <n v="70.3"/>
    <n v="210.89999999999998"/>
    <d v="2025-02-24T00:00:00"/>
    <d v="2025-02-24T00:00:00"/>
    <x v="1"/>
    <x v="1"/>
    <x v="2"/>
    <x v="0"/>
    <x v="11"/>
    <x v="7"/>
    <x v="8"/>
    <x v="1"/>
  </r>
  <r>
    <s v="TX501475"/>
    <x v="4"/>
    <x v="1"/>
    <n v="20.5"/>
    <n v="41"/>
    <d v="2025-02-24T00:00:00"/>
    <d v="2025-02-27T00:00:00"/>
    <x v="2"/>
    <x v="0"/>
    <x v="1"/>
    <x v="0"/>
    <x v="11"/>
    <x v="2"/>
    <x v="8"/>
    <x v="2"/>
  </r>
  <r>
    <s v="TX501476"/>
    <x v="5"/>
    <x v="5"/>
    <n v="37.6"/>
    <n v="413.6"/>
    <d v="2025-02-24T00:00:00"/>
    <d v="2025-02-25T00:00:00"/>
    <x v="1"/>
    <x v="0"/>
    <x v="0"/>
    <x v="0"/>
    <x v="38"/>
    <x v="3"/>
    <x v="8"/>
    <x v="1"/>
  </r>
  <r>
    <s v="TX501477"/>
    <x v="5"/>
    <x v="12"/>
    <n v="61.5"/>
    <n v="246"/>
    <d v="2025-02-24T00:00:00"/>
    <d v="2025-03-03T00:00:00"/>
    <x v="2"/>
    <x v="1"/>
    <x v="4"/>
    <x v="0"/>
    <x v="13"/>
    <x v="6"/>
    <x v="8"/>
    <x v="2"/>
  </r>
  <r>
    <s v="TX501478"/>
    <x v="9"/>
    <x v="0"/>
    <n v="33.5"/>
    <n v="33.5"/>
    <d v="2025-02-25T00:00:00"/>
    <d v="2025-03-01T00:00:00"/>
    <x v="1"/>
    <x v="4"/>
    <x v="1"/>
    <x v="0"/>
    <x v="21"/>
    <x v="5"/>
    <x v="8"/>
    <x v="1"/>
  </r>
  <r>
    <s v="TX501479"/>
    <x v="4"/>
    <x v="2"/>
    <n v="29.3"/>
    <n v="87.9"/>
    <d v="2025-02-25T00:00:00"/>
    <d v="2025-02-27T00:00:00"/>
    <x v="2"/>
    <x v="1"/>
    <x v="2"/>
    <x v="0"/>
    <x v="1"/>
    <x v="1"/>
    <x v="8"/>
    <x v="2"/>
  </r>
  <r>
    <s v="TX501480"/>
    <x v="2"/>
    <x v="1"/>
    <n v="125.9"/>
    <n v="251.8"/>
    <d v="2025-02-25T00:00:00"/>
    <d v="2025-03-02T00:00:00"/>
    <x v="2"/>
    <x v="4"/>
    <x v="1"/>
    <x v="0"/>
    <x v="1"/>
    <x v="0"/>
    <x v="8"/>
    <x v="2"/>
  </r>
  <r>
    <s v="TX501481"/>
    <x v="5"/>
    <x v="9"/>
    <n v="29.3"/>
    <n v="146.5"/>
    <d v="2025-02-25T00:00:00"/>
    <d v="2025-02-25T00:00:00"/>
    <x v="1"/>
    <x v="2"/>
    <x v="0"/>
    <x v="0"/>
    <x v="44"/>
    <x v="7"/>
    <x v="8"/>
    <x v="1"/>
  </r>
  <r>
    <s v="TX501482"/>
    <x v="9"/>
    <x v="0"/>
    <n v="37.799999999999997"/>
    <n v="37.799999999999997"/>
    <d v="2025-02-25T00:00:00"/>
    <d v="2025-02-28T00:00:00"/>
    <x v="2"/>
    <x v="0"/>
    <x v="2"/>
    <x v="0"/>
    <x v="3"/>
    <x v="2"/>
    <x v="8"/>
    <x v="2"/>
  </r>
  <r>
    <s v="TX501483"/>
    <x v="0"/>
    <x v="12"/>
    <n v="31.7"/>
    <n v="126.8"/>
    <d v="2025-02-25T00:00:00"/>
    <d v="2025-02-26T00:00:00"/>
    <x v="1"/>
    <x v="2"/>
    <x v="2"/>
    <x v="0"/>
    <x v="3"/>
    <x v="3"/>
    <x v="8"/>
    <x v="1"/>
  </r>
  <r>
    <s v="TX501484"/>
    <x v="8"/>
    <x v="9"/>
    <n v="26.3"/>
    <n v="131.5"/>
    <d v="2025-02-25T00:00:00"/>
    <d v="2025-02-26T00:00:00"/>
    <x v="2"/>
    <x v="3"/>
    <x v="2"/>
    <x v="0"/>
    <x v="3"/>
    <x v="3"/>
    <x v="8"/>
    <x v="2"/>
  </r>
  <r>
    <s v="TX501485"/>
    <x v="8"/>
    <x v="2"/>
    <n v="23.1"/>
    <n v="69.300000000000011"/>
    <d v="2025-02-25T00:00:00"/>
    <d v="2025-02-26T00:00:00"/>
    <x v="3"/>
    <x v="2"/>
    <x v="1"/>
    <x v="0"/>
    <x v="3"/>
    <x v="3"/>
    <x v="8"/>
    <x v="3"/>
  </r>
  <r>
    <s v="TX501486"/>
    <x v="4"/>
    <x v="0"/>
    <n v="22.3"/>
    <n v="22.3"/>
    <d v="2025-02-25T00:00:00"/>
    <d v="2025-02-27T00:00:00"/>
    <x v="2"/>
    <x v="2"/>
    <x v="0"/>
    <x v="0"/>
    <x v="3"/>
    <x v="1"/>
    <x v="8"/>
    <x v="2"/>
  </r>
  <r>
    <s v="TX501487"/>
    <x v="12"/>
    <x v="1"/>
    <n v="99.5"/>
    <n v="199"/>
    <d v="2025-02-25T00:00:00"/>
    <d v="2025-02-27T00:00:00"/>
    <x v="2"/>
    <x v="2"/>
    <x v="0"/>
    <x v="0"/>
    <x v="3"/>
    <x v="1"/>
    <x v="8"/>
    <x v="2"/>
  </r>
  <r>
    <s v="TX501488"/>
    <x v="12"/>
    <x v="12"/>
    <n v="47.4"/>
    <n v="189.6"/>
    <d v="2025-02-25T00:00:00"/>
    <d v="2025-02-28T00:00:00"/>
    <x v="2"/>
    <x v="1"/>
    <x v="0"/>
    <x v="0"/>
    <x v="3"/>
    <x v="2"/>
    <x v="8"/>
    <x v="2"/>
  </r>
  <r>
    <s v="TX501489"/>
    <x v="0"/>
    <x v="5"/>
    <n v="37.5"/>
    <n v="412.5"/>
    <d v="2025-02-25T00:00:00"/>
    <d v="2025-02-27T00:00:00"/>
    <x v="2"/>
    <x v="0"/>
    <x v="3"/>
    <x v="0"/>
    <x v="3"/>
    <x v="1"/>
    <x v="8"/>
    <x v="2"/>
  </r>
  <r>
    <s v="TX501490"/>
    <x v="10"/>
    <x v="0"/>
    <n v="45.1"/>
    <n v="45.1"/>
    <d v="2025-02-25T00:00:00"/>
    <d v="2025-03-02T00:00:00"/>
    <x v="1"/>
    <x v="3"/>
    <x v="2"/>
    <x v="0"/>
    <x v="24"/>
    <x v="0"/>
    <x v="8"/>
    <x v="1"/>
  </r>
  <r>
    <s v="TX501491"/>
    <x v="5"/>
    <x v="7"/>
    <n v="34.4"/>
    <n v="344"/>
    <d v="2025-02-25T00:00:00"/>
    <d v="2025-02-28T00:00:00"/>
    <x v="1"/>
    <x v="2"/>
    <x v="0"/>
    <x v="0"/>
    <x v="16"/>
    <x v="2"/>
    <x v="8"/>
    <x v="1"/>
  </r>
  <r>
    <s v="TX501492"/>
    <x v="4"/>
    <x v="1"/>
    <n v="38"/>
    <n v="76"/>
    <d v="2025-02-25T00:00:00"/>
    <d v="2025-02-27T00:00:00"/>
    <x v="2"/>
    <x v="1"/>
    <x v="0"/>
    <x v="0"/>
    <x v="5"/>
    <x v="1"/>
    <x v="8"/>
    <x v="2"/>
  </r>
  <r>
    <s v="TX501493"/>
    <x v="3"/>
    <x v="21"/>
    <n v="32.4"/>
    <n v="453.59999999999997"/>
    <d v="2025-02-25T00:00:00"/>
    <d v="2025-02-28T00:00:00"/>
    <x v="1"/>
    <x v="4"/>
    <x v="0"/>
    <x v="0"/>
    <x v="6"/>
    <x v="2"/>
    <x v="8"/>
    <x v="1"/>
  </r>
  <r>
    <s v="TX501494"/>
    <x v="6"/>
    <x v="2"/>
    <n v="40.9"/>
    <n v="122.69999999999999"/>
    <d v="2025-02-25T00:00:00"/>
    <d v="2025-02-25T00:00:00"/>
    <x v="0"/>
    <x v="1"/>
    <x v="0"/>
    <x v="0"/>
    <x v="8"/>
    <x v="7"/>
    <x v="8"/>
    <x v="0"/>
  </r>
  <r>
    <s v="TX501495"/>
    <x v="7"/>
    <x v="3"/>
    <n v="76.2"/>
    <n v="533.4"/>
    <d v="2025-02-25T00:00:00"/>
    <d v="2025-02-27T00:00:00"/>
    <x v="2"/>
    <x v="2"/>
    <x v="1"/>
    <x v="0"/>
    <x v="8"/>
    <x v="1"/>
    <x v="8"/>
    <x v="2"/>
  </r>
  <r>
    <s v="TX501496"/>
    <x v="2"/>
    <x v="0"/>
    <n v="85.6"/>
    <n v="85.6"/>
    <d v="2025-02-25T00:00:00"/>
    <d v="2025-02-27T00:00:00"/>
    <x v="1"/>
    <x v="2"/>
    <x v="0"/>
    <x v="0"/>
    <x v="8"/>
    <x v="1"/>
    <x v="8"/>
    <x v="1"/>
  </r>
  <r>
    <s v="TX501497"/>
    <x v="4"/>
    <x v="12"/>
    <n v="25"/>
    <n v="100"/>
    <d v="2025-02-25T00:00:00"/>
    <d v="2025-02-27T00:00:00"/>
    <x v="2"/>
    <x v="2"/>
    <x v="2"/>
    <x v="0"/>
    <x v="8"/>
    <x v="1"/>
    <x v="8"/>
    <x v="2"/>
  </r>
  <r>
    <s v="TX501498"/>
    <x v="2"/>
    <x v="9"/>
    <n v="150.69999999999999"/>
    <n v="753.5"/>
    <d v="2025-02-25T00:00:00"/>
    <d v="2025-02-26T00:00:00"/>
    <x v="0"/>
    <x v="0"/>
    <x v="2"/>
    <x v="0"/>
    <x v="8"/>
    <x v="3"/>
    <x v="8"/>
    <x v="0"/>
  </r>
  <r>
    <s v="TX501499"/>
    <x v="8"/>
    <x v="0"/>
    <n v="19.600000000000001"/>
    <n v="19.600000000000001"/>
    <d v="2025-02-25T00:00:00"/>
    <d v="2025-02-26T00:00:00"/>
    <x v="1"/>
    <x v="1"/>
    <x v="4"/>
    <x v="0"/>
    <x v="8"/>
    <x v="3"/>
    <x v="8"/>
    <x v="1"/>
  </r>
  <r>
    <s v="TX501500"/>
    <x v="13"/>
    <x v="1"/>
    <n v="37.5"/>
    <n v="75"/>
    <d v="2025-02-25T00:00:00"/>
    <d v="2025-02-28T00:00:00"/>
    <x v="2"/>
    <x v="1"/>
    <x v="2"/>
    <x v="0"/>
    <x v="17"/>
    <x v="2"/>
    <x v="8"/>
    <x v="2"/>
  </r>
  <r>
    <s v="TX501501"/>
    <x v="9"/>
    <x v="2"/>
    <n v="51.9"/>
    <n v="155.69999999999999"/>
    <d v="2025-02-25T00:00:00"/>
    <d v="2025-03-03T00:00:00"/>
    <x v="2"/>
    <x v="0"/>
    <x v="4"/>
    <x v="0"/>
    <x v="11"/>
    <x v="4"/>
    <x v="8"/>
    <x v="2"/>
  </r>
  <r>
    <s v="TX501502"/>
    <x v="1"/>
    <x v="1"/>
    <n v="30.9"/>
    <n v="61.8"/>
    <d v="2025-02-25T00:00:00"/>
    <d v="2025-02-27T00:00:00"/>
    <x v="2"/>
    <x v="1"/>
    <x v="0"/>
    <x v="0"/>
    <x v="18"/>
    <x v="1"/>
    <x v="8"/>
    <x v="2"/>
  </r>
  <r>
    <s v="TX501503"/>
    <x v="4"/>
    <x v="2"/>
    <n v="21.2"/>
    <n v="63.599999999999994"/>
    <d v="2025-02-25T00:00:00"/>
    <d v="2025-02-28T00:00:00"/>
    <x v="2"/>
    <x v="1"/>
    <x v="0"/>
    <x v="0"/>
    <x v="19"/>
    <x v="2"/>
    <x v="8"/>
    <x v="2"/>
  </r>
  <r>
    <s v="TX501504"/>
    <x v="13"/>
    <x v="14"/>
    <n v="17.5"/>
    <n v="297.5"/>
    <d v="2025-02-25T00:00:00"/>
    <d v="2025-02-26T00:00:00"/>
    <x v="1"/>
    <x v="1"/>
    <x v="1"/>
    <x v="0"/>
    <x v="13"/>
    <x v="3"/>
    <x v="8"/>
    <x v="1"/>
  </r>
  <r>
    <s v="TX501505"/>
    <x v="12"/>
    <x v="1"/>
    <n v="53.8"/>
    <n v="107.6"/>
    <d v="2025-02-25T00:00:00"/>
    <d v="2025-03-02T00:00:00"/>
    <x v="2"/>
    <x v="0"/>
    <x v="2"/>
    <x v="0"/>
    <x v="21"/>
    <x v="0"/>
    <x v="8"/>
    <x v="2"/>
  </r>
  <r>
    <s v="TX501506"/>
    <x v="19"/>
    <x v="1"/>
    <n v="17"/>
    <n v="34"/>
    <d v="2025-02-25T00:00:00"/>
    <d v="2025-02-26T00:00:00"/>
    <x v="1"/>
    <x v="3"/>
    <x v="0"/>
    <x v="0"/>
    <x v="21"/>
    <x v="3"/>
    <x v="8"/>
    <x v="1"/>
  </r>
  <r>
    <s v="TX501507"/>
    <x v="6"/>
    <x v="0"/>
    <n v="103.2"/>
    <n v="103.2"/>
    <d v="2025-02-25T00:00:00"/>
    <d v="2025-03-05T00:00:00"/>
    <x v="1"/>
    <x v="2"/>
    <x v="1"/>
    <x v="0"/>
    <x v="1"/>
    <x v="9"/>
    <x v="8"/>
    <x v="1"/>
  </r>
  <r>
    <s v="TX501508"/>
    <x v="6"/>
    <x v="12"/>
    <n v="70.3"/>
    <n v="281.2"/>
    <d v="2025-02-25T00:00:00"/>
    <d v="2025-02-26T00:00:00"/>
    <x v="1"/>
    <x v="0"/>
    <x v="0"/>
    <x v="0"/>
    <x v="3"/>
    <x v="3"/>
    <x v="8"/>
    <x v="1"/>
  </r>
  <r>
    <s v="TX501509"/>
    <x v="2"/>
    <x v="1"/>
    <n v="73.8"/>
    <n v="147.6"/>
    <d v="2025-02-25T00:00:00"/>
    <d v="2025-02-25T00:00:00"/>
    <x v="1"/>
    <x v="3"/>
    <x v="2"/>
    <x v="0"/>
    <x v="3"/>
    <x v="7"/>
    <x v="8"/>
    <x v="1"/>
  </r>
  <r>
    <s v="TX501510"/>
    <x v="1"/>
    <x v="4"/>
    <n v="67.7"/>
    <n v="812.40000000000009"/>
    <d v="2025-02-25T00:00:00"/>
    <d v="2025-03-01T00:00:00"/>
    <x v="1"/>
    <x v="1"/>
    <x v="1"/>
    <x v="0"/>
    <x v="3"/>
    <x v="5"/>
    <x v="8"/>
    <x v="1"/>
  </r>
  <r>
    <s v="TX501511"/>
    <x v="13"/>
    <x v="3"/>
    <n v="43.8"/>
    <n v="306.59999999999997"/>
    <d v="2025-02-25T00:00:00"/>
    <d v="2025-02-27T00:00:00"/>
    <x v="1"/>
    <x v="1"/>
    <x v="0"/>
    <x v="0"/>
    <x v="3"/>
    <x v="1"/>
    <x v="8"/>
    <x v="1"/>
  </r>
  <r>
    <s v="TX501512"/>
    <x v="17"/>
    <x v="13"/>
    <n v="71.900000000000006"/>
    <n v="431.40000000000003"/>
    <d v="2025-02-25T00:00:00"/>
    <d v="2025-02-26T00:00:00"/>
    <x v="2"/>
    <x v="2"/>
    <x v="0"/>
    <x v="0"/>
    <x v="3"/>
    <x v="3"/>
    <x v="8"/>
    <x v="2"/>
  </r>
  <r>
    <s v="TX501513"/>
    <x v="8"/>
    <x v="1"/>
    <n v="26.3"/>
    <n v="52.6"/>
    <d v="2025-02-26T00:00:00"/>
    <d v="2025-02-28T00:00:00"/>
    <x v="2"/>
    <x v="0"/>
    <x v="1"/>
    <x v="0"/>
    <x v="3"/>
    <x v="1"/>
    <x v="8"/>
    <x v="2"/>
  </r>
  <r>
    <s v="TX501514"/>
    <x v="6"/>
    <x v="12"/>
    <n v="52.6"/>
    <n v="210.4"/>
    <d v="2025-02-26T00:00:00"/>
    <d v="2025-02-28T00:00:00"/>
    <x v="2"/>
    <x v="2"/>
    <x v="1"/>
    <x v="0"/>
    <x v="3"/>
    <x v="1"/>
    <x v="8"/>
    <x v="2"/>
  </r>
  <r>
    <s v="TX501515"/>
    <x v="10"/>
    <x v="0"/>
    <n v="32.700000000000003"/>
    <n v="32.700000000000003"/>
    <d v="2025-02-26T00:00:00"/>
    <d v="2025-03-05T00:00:00"/>
    <x v="2"/>
    <x v="0"/>
    <x v="2"/>
    <x v="0"/>
    <x v="3"/>
    <x v="6"/>
    <x v="8"/>
    <x v="2"/>
  </r>
  <r>
    <s v="TX501516"/>
    <x v="5"/>
    <x v="12"/>
    <n v="38.9"/>
    <n v="155.6"/>
    <d v="2025-02-26T00:00:00"/>
    <d v="2025-02-27T00:00:00"/>
    <x v="2"/>
    <x v="0"/>
    <x v="0"/>
    <x v="0"/>
    <x v="3"/>
    <x v="3"/>
    <x v="8"/>
    <x v="2"/>
  </r>
  <r>
    <s v="TX501517"/>
    <x v="9"/>
    <x v="9"/>
    <n v="35"/>
    <n v="175"/>
    <d v="2025-02-26T00:00:00"/>
    <d v="2025-02-28T00:00:00"/>
    <x v="1"/>
    <x v="0"/>
    <x v="0"/>
    <x v="0"/>
    <x v="3"/>
    <x v="1"/>
    <x v="8"/>
    <x v="1"/>
  </r>
  <r>
    <s v="TX501518"/>
    <x v="2"/>
    <x v="1"/>
    <n v="121"/>
    <n v="242"/>
    <d v="2025-02-26T00:00:00"/>
    <d v="2025-02-27T00:00:00"/>
    <x v="2"/>
    <x v="1"/>
    <x v="1"/>
    <x v="0"/>
    <x v="3"/>
    <x v="3"/>
    <x v="8"/>
    <x v="2"/>
  </r>
  <r>
    <s v="TX501519"/>
    <x v="6"/>
    <x v="2"/>
    <n v="65.099999999999994"/>
    <n v="195.29999999999998"/>
    <d v="2025-02-26T00:00:00"/>
    <d v="2025-03-02T00:00:00"/>
    <x v="1"/>
    <x v="2"/>
    <x v="0"/>
    <x v="0"/>
    <x v="36"/>
    <x v="5"/>
    <x v="8"/>
    <x v="1"/>
  </r>
  <r>
    <s v="TX501520"/>
    <x v="1"/>
    <x v="38"/>
    <n v="63.8"/>
    <n v="1339.8"/>
    <d v="2025-02-26T00:00:00"/>
    <d v="2025-02-28T00:00:00"/>
    <x v="2"/>
    <x v="0"/>
    <x v="0"/>
    <x v="0"/>
    <x v="8"/>
    <x v="1"/>
    <x v="8"/>
    <x v="2"/>
  </r>
  <r>
    <s v="TX501521"/>
    <x v="7"/>
    <x v="0"/>
    <n v="77.7"/>
    <n v="77.7"/>
    <d v="2025-02-26T00:00:00"/>
    <d v="2025-02-28T00:00:00"/>
    <x v="1"/>
    <x v="0"/>
    <x v="0"/>
    <x v="0"/>
    <x v="8"/>
    <x v="1"/>
    <x v="8"/>
    <x v="1"/>
  </r>
  <r>
    <s v="TX501522"/>
    <x v="5"/>
    <x v="12"/>
    <n v="60.3"/>
    <n v="241.2"/>
    <d v="2025-02-26T00:00:00"/>
    <d v="2025-02-26T00:00:00"/>
    <x v="1"/>
    <x v="0"/>
    <x v="2"/>
    <x v="0"/>
    <x v="8"/>
    <x v="7"/>
    <x v="8"/>
    <x v="1"/>
  </r>
  <r>
    <s v="TX501523"/>
    <x v="5"/>
    <x v="1"/>
    <n v="124.1"/>
    <n v="248.2"/>
    <d v="2025-02-26T00:00:00"/>
    <d v="2025-03-01T00:00:00"/>
    <x v="2"/>
    <x v="0"/>
    <x v="2"/>
    <x v="0"/>
    <x v="8"/>
    <x v="2"/>
    <x v="8"/>
    <x v="2"/>
  </r>
  <r>
    <s v="TX501524"/>
    <x v="16"/>
    <x v="3"/>
    <n v="66"/>
    <n v="462"/>
    <d v="2025-02-26T00:00:00"/>
    <d v="2025-02-26T00:00:00"/>
    <x v="0"/>
    <x v="3"/>
    <x v="0"/>
    <x v="0"/>
    <x v="17"/>
    <x v="7"/>
    <x v="8"/>
    <x v="0"/>
  </r>
  <r>
    <s v="TX501525"/>
    <x v="2"/>
    <x v="42"/>
    <n v="118.2"/>
    <n v="7446.6"/>
    <d v="2025-02-26T00:00:00"/>
    <d v="2025-03-03T00:00:00"/>
    <x v="0"/>
    <x v="0"/>
    <x v="0"/>
    <x v="0"/>
    <x v="17"/>
    <x v="0"/>
    <x v="8"/>
    <x v="0"/>
  </r>
  <r>
    <s v="TX501526"/>
    <x v="5"/>
    <x v="9"/>
    <n v="64.3"/>
    <n v="321.5"/>
    <d v="2025-02-26T00:00:00"/>
    <d v="2025-02-27T00:00:00"/>
    <x v="1"/>
    <x v="4"/>
    <x v="4"/>
    <x v="0"/>
    <x v="26"/>
    <x v="3"/>
    <x v="8"/>
    <x v="1"/>
  </r>
  <r>
    <s v="TX501527"/>
    <x v="1"/>
    <x v="1"/>
    <n v="54.8"/>
    <n v="109.6"/>
    <d v="2025-02-26T00:00:00"/>
    <d v="2025-02-26T00:00:00"/>
    <x v="1"/>
    <x v="0"/>
    <x v="1"/>
    <x v="0"/>
    <x v="26"/>
    <x v="7"/>
    <x v="8"/>
    <x v="1"/>
  </r>
  <r>
    <s v="TX501528"/>
    <x v="7"/>
    <x v="1"/>
    <n v="78.599999999999994"/>
    <n v="157.19999999999999"/>
    <d v="2025-02-26T00:00:00"/>
    <d v="2025-02-27T00:00:00"/>
    <x v="1"/>
    <x v="0"/>
    <x v="2"/>
    <x v="0"/>
    <x v="9"/>
    <x v="3"/>
    <x v="8"/>
    <x v="1"/>
  </r>
  <r>
    <s v="TX501529"/>
    <x v="2"/>
    <x v="9"/>
    <n v="158.5"/>
    <n v="792.5"/>
    <d v="2025-02-26T00:00:00"/>
    <d v="2025-02-28T00:00:00"/>
    <x v="0"/>
    <x v="2"/>
    <x v="2"/>
    <x v="0"/>
    <x v="9"/>
    <x v="1"/>
    <x v="8"/>
    <x v="0"/>
  </r>
  <r>
    <s v="TX501530"/>
    <x v="4"/>
    <x v="7"/>
    <n v="23.5"/>
    <n v="235"/>
    <d v="2025-02-26T00:00:00"/>
    <d v="2025-03-01T00:00:00"/>
    <x v="1"/>
    <x v="0"/>
    <x v="4"/>
    <x v="0"/>
    <x v="10"/>
    <x v="2"/>
    <x v="8"/>
    <x v="1"/>
  </r>
  <r>
    <s v="TX501531"/>
    <x v="5"/>
    <x v="1"/>
    <n v="32.1"/>
    <n v="64.2"/>
    <d v="2025-02-26T00:00:00"/>
    <d v="2025-02-28T00:00:00"/>
    <x v="0"/>
    <x v="3"/>
    <x v="0"/>
    <x v="0"/>
    <x v="10"/>
    <x v="1"/>
    <x v="8"/>
    <x v="0"/>
  </r>
  <r>
    <s v="TX501532"/>
    <x v="17"/>
    <x v="12"/>
    <n v="71.900000000000006"/>
    <n v="287.60000000000002"/>
    <d v="2025-02-26T00:00:00"/>
    <d v="2025-02-26T00:00:00"/>
    <x v="1"/>
    <x v="2"/>
    <x v="0"/>
    <x v="0"/>
    <x v="19"/>
    <x v="7"/>
    <x v="8"/>
    <x v="1"/>
  </r>
  <r>
    <s v="TX501533"/>
    <x v="4"/>
    <x v="13"/>
    <n v="22.3"/>
    <n v="133.80000000000001"/>
    <d v="2025-02-26T00:00:00"/>
    <d v="2025-02-27T00:00:00"/>
    <x v="0"/>
    <x v="3"/>
    <x v="2"/>
    <x v="0"/>
    <x v="13"/>
    <x v="3"/>
    <x v="8"/>
    <x v="0"/>
  </r>
  <r>
    <s v="TX501534"/>
    <x v="11"/>
    <x v="1"/>
    <n v="29.5"/>
    <n v="59"/>
    <d v="2025-02-26T00:00:00"/>
    <d v="2025-02-27T00:00:00"/>
    <x v="2"/>
    <x v="0"/>
    <x v="2"/>
    <x v="0"/>
    <x v="13"/>
    <x v="3"/>
    <x v="8"/>
    <x v="2"/>
  </r>
  <r>
    <s v="TX501535"/>
    <x v="6"/>
    <x v="12"/>
    <n v="41.9"/>
    <n v="167.6"/>
    <d v="2025-02-26T00:00:00"/>
    <d v="2025-03-02T00:00:00"/>
    <x v="2"/>
    <x v="0"/>
    <x v="1"/>
    <x v="0"/>
    <x v="21"/>
    <x v="5"/>
    <x v="8"/>
    <x v="2"/>
  </r>
  <r>
    <s v="TX501536"/>
    <x v="6"/>
    <x v="2"/>
    <n v="107.8"/>
    <n v="323.39999999999998"/>
    <d v="2025-02-26T00:00:00"/>
    <d v="2025-02-27T00:00:00"/>
    <x v="1"/>
    <x v="1"/>
    <x v="2"/>
    <x v="0"/>
    <x v="46"/>
    <x v="3"/>
    <x v="8"/>
    <x v="1"/>
  </r>
  <r>
    <s v="TX501537"/>
    <x v="4"/>
    <x v="9"/>
    <n v="18.100000000000001"/>
    <n v="90.5"/>
    <d v="2025-02-26T00:00:00"/>
    <d v="2025-03-01T00:00:00"/>
    <x v="1"/>
    <x v="0"/>
    <x v="2"/>
    <x v="0"/>
    <x v="2"/>
    <x v="2"/>
    <x v="8"/>
    <x v="1"/>
  </r>
  <r>
    <s v="TX501538"/>
    <x v="12"/>
    <x v="11"/>
    <n v="79.8"/>
    <n v="718.19999999999993"/>
    <d v="2025-02-26T00:00:00"/>
    <d v="2025-02-27T00:00:00"/>
    <x v="2"/>
    <x v="1"/>
    <x v="1"/>
    <x v="0"/>
    <x v="22"/>
    <x v="3"/>
    <x v="8"/>
    <x v="2"/>
  </r>
  <r>
    <s v="TX501539"/>
    <x v="0"/>
    <x v="2"/>
    <n v="22.3"/>
    <n v="66.900000000000006"/>
    <d v="2025-02-26T00:00:00"/>
    <d v="2025-03-01T00:00:00"/>
    <x v="2"/>
    <x v="0"/>
    <x v="2"/>
    <x v="0"/>
    <x v="22"/>
    <x v="2"/>
    <x v="8"/>
    <x v="2"/>
  </r>
  <r>
    <s v="TX501540"/>
    <x v="8"/>
    <x v="0"/>
    <n v="22.9"/>
    <n v="22.9"/>
    <d v="2025-02-26T00:00:00"/>
    <d v="2025-02-26T00:00:00"/>
    <x v="2"/>
    <x v="1"/>
    <x v="0"/>
    <x v="0"/>
    <x v="22"/>
    <x v="7"/>
    <x v="8"/>
    <x v="2"/>
  </r>
  <r>
    <s v="TX501541"/>
    <x v="0"/>
    <x v="2"/>
    <n v="16.2"/>
    <n v="48.599999999999994"/>
    <d v="2025-02-27T00:00:00"/>
    <d v="2025-02-27T00:00:00"/>
    <x v="1"/>
    <x v="4"/>
    <x v="2"/>
    <x v="0"/>
    <x v="3"/>
    <x v="7"/>
    <x v="8"/>
    <x v="1"/>
  </r>
  <r>
    <s v="TX501542"/>
    <x v="10"/>
    <x v="12"/>
    <n v="59.5"/>
    <n v="238"/>
    <d v="2025-02-27T00:00:00"/>
    <d v="2025-02-28T00:00:00"/>
    <x v="1"/>
    <x v="1"/>
    <x v="2"/>
    <x v="0"/>
    <x v="3"/>
    <x v="3"/>
    <x v="8"/>
    <x v="1"/>
  </r>
  <r>
    <s v="TX501543"/>
    <x v="18"/>
    <x v="9"/>
    <n v="26.2"/>
    <n v="131"/>
    <d v="2025-02-27T00:00:00"/>
    <d v="2025-03-02T00:00:00"/>
    <x v="1"/>
    <x v="3"/>
    <x v="4"/>
    <x v="0"/>
    <x v="3"/>
    <x v="2"/>
    <x v="8"/>
    <x v="1"/>
  </r>
  <r>
    <s v="TX501544"/>
    <x v="3"/>
    <x v="0"/>
    <n v="44.2"/>
    <n v="44.2"/>
    <d v="2025-02-27T00:00:00"/>
    <d v="2025-03-02T00:00:00"/>
    <x v="2"/>
    <x v="1"/>
    <x v="0"/>
    <x v="0"/>
    <x v="3"/>
    <x v="2"/>
    <x v="8"/>
    <x v="2"/>
  </r>
  <r>
    <s v="TX501545"/>
    <x v="9"/>
    <x v="1"/>
    <n v="59.2"/>
    <n v="118.4"/>
    <d v="2025-02-27T00:00:00"/>
    <d v="2025-02-27T00:00:00"/>
    <x v="2"/>
    <x v="1"/>
    <x v="4"/>
    <x v="0"/>
    <x v="3"/>
    <x v="7"/>
    <x v="8"/>
    <x v="2"/>
  </r>
  <r>
    <s v="TX501546"/>
    <x v="15"/>
    <x v="12"/>
    <n v="41.5"/>
    <n v="166"/>
    <d v="2025-02-27T00:00:00"/>
    <d v="2025-03-01T00:00:00"/>
    <x v="2"/>
    <x v="0"/>
    <x v="0"/>
    <x v="0"/>
    <x v="16"/>
    <x v="1"/>
    <x v="8"/>
    <x v="2"/>
  </r>
  <r>
    <s v="TX501547"/>
    <x v="6"/>
    <x v="4"/>
    <n v="67.099999999999994"/>
    <n v="805.19999999999993"/>
    <d v="2025-02-27T00:00:00"/>
    <d v="2025-03-13T00:00:00"/>
    <x v="2"/>
    <x v="0"/>
    <x v="2"/>
    <x v="0"/>
    <x v="23"/>
    <x v="12"/>
    <x v="8"/>
    <x v="2"/>
  </r>
  <r>
    <s v="TX501548"/>
    <x v="8"/>
    <x v="1"/>
    <n v="28.7"/>
    <n v="57.4"/>
    <d v="2025-02-27T00:00:00"/>
    <d v="2025-03-03T00:00:00"/>
    <x v="2"/>
    <x v="1"/>
    <x v="0"/>
    <x v="0"/>
    <x v="6"/>
    <x v="5"/>
    <x v="8"/>
    <x v="2"/>
  </r>
  <r>
    <s v="TX501549"/>
    <x v="2"/>
    <x v="12"/>
    <n v="132.1"/>
    <n v="528.4"/>
    <d v="2025-02-27T00:00:00"/>
    <d v="2025-02-28T00:00:00"/>
    <x v="2"/>
    <x v="0"/>
    <x v="1"/>
    <x v="0"/>
    <x v="6"/>
    <x v="3"/>
    <x v="8"/>
    <x v="2"/>
  </r>
  <r>
    <s v="TX501550"/>
    <x v="18"/>
    <x v="1"/>
    <n v="47"/>
    <n v="94"/>
    <d v="2025-02-27T00:00:00"/>
    <d v="2025-03-01T00:00:00"/>
    <x v="1"/>
    <x v="4"/>
    <x v="0"/>
    <x v="0"/>
    <x v="8"/>
    <x v="1"/>
    <x v="8"/>
    <x v="1"/>
  </r>
  <r>
    <s v="TX501551"/>
    <x v="8"/>
    <x v="1"/>
    <n v="41.6"/>
    <n v="83.2"/>
    <d v="2025-02-27T00:00:00"/>
    <d v="2025-03-03T00:00:00"/>
    <x v="1"/>
    <x v="1"/>
    <x v="2"/>
    <x v="0"/>
    <x v="8"/>
    <x v="5"/>
    <x v="8"/>
    <x v="1"/>
  </r>
  <r>
    <s v="TX501552"/>
    <x v="8"/>
    <x v="43"/>
    <n v="17.3"/>
    <n v="657.4"/>
    <d v="2025-02-27T00:00:00"/>
    <d v="2025-03-01T00:00:00"/>
    <x v="1"/>
    <x v="2"/>
    <x v="2"/>
    <x v="0"/>
    <x v="8"/>
    <x v="1"/>
    <x v="8"/>
    <x v="1"/>
  </r>
  <r>
    <s v="TX501553"/>
    <x v="13"/>
    <x v="2"/>
    <n v="41.8"/>
    <n v="125.39999999999999"/>
    <d v="2025-02-27T00:00:00"/>
    <d v="2025-03-02T00:00:00"/>
    <x v="1"/>
    <x v="0"/>
    <x v="2"/>
    <x v="0"/>
    <x v="8"/>
    <x v="2"/>
    <x v="8"/>
    <x v="1"/>
  </r>
  <r>
    <s v="TX501554"/>
    <x v="10"/>
    <x v="0"/>
    <n v="24"/>
    <n v="24"/>
    <d v="2025-02-27T00:00:00"/>
    <d v="2025-02-28T00:00:00"/>
    <x v="2"/>
    <x v="0"/>
    <x v="0"/>
    <x v="0"/>
    <x v="17"/>
    <x v="3"/>
    <x v="8"/>
    <x v="2"/>
  </r>
  <r>
    <s v="TX501555"/>
    <x v="14"/>
    <x v="11"/>
    <n v="18.5"/>
    <n v="166.5"/>
    <d v="2025-02-27T00:00:00"/>
    <d v="2025-03-01T00:00:00"/>
    <x v="2"/>
    <x v="0"/>
    <x v="0"/>
    <x v="0"/>
    <x v="9"/>
    <x v="1"/>
    <x v="8"/>
    <x v="2"/>
  </r>
  <r>
    <s v="TX501556"/>
    <x v="3"/>
    <x v="4"/>
    <n v="66.7"/>
    <n v="800.40000000000009"/>
    <d v="2025-02-27T00:00:00"/>
    <d v="2025-03-02T00:00:00"/>
    <x v="0"/>
    <x v="0"/>
    <x v="2"/>
    <x v="0"/>
    <x v="11"/>
    <x v="2"/>
    <x v="8"/>
    <x v="0"/>
  </r>
  <r>
    <s v="TX501557"/>
    <x v="1"/>
    <x v="12"/>
    <n v="33.1"/>
    <n v="132.4"/>
    <d v="2025-02-27T00:00:00"/>
    <d v="2025-03-04T00:00:00"/>
    <x v="1"/>
    <x v="3"/>
    <x v="0"/>
    <x v="0"/>
    <x v="11"/>
    <x v="0"/>
    <x v="8"/>
    <x v="1"/>
  </r>
  <r>
    <s v="TX501558"/>
    <x v="19"/>
    <x v="11"/>
    <n v="42.1"/>
    <n v="378.90000000000003"/>
    <d v="2025-02-27T00:00:00"/>
    <d v="2025-03-10T00:00:00"/>
    <x v="1"/>
    <x v="1"/>
    <x v="0"/>
    <x v="0"/>
    <x v="18"/>
    <x v="11"/>
    <x v="8"/>
    <x v="1"/>
  </r>
  <r>
    <s v="TX501559"/>
    <x v="18"/>
    <x v="3"/>
    <n v="58.7"/>
    <n v="410.90000000000003"/>
    <d v="2025-02-27T00:00:00"/>
    <d v="2025-02-27T00:00:00"/>
    <x v="3"/>
    <x v="3"/>
    <x v="0"/>
    <x v="0"/>
    <x v="31"/>
    <x v="7"/>
    <x v="8"/>
    <x v="3"/>
  </r>
  <r>
    <s v="TX501560"/>
    <x v="6"/>
    <x v="12"/>
    <n v="54"/>
    <n v="216"/>
    <d v="2025-02-27T00:00:00"/>
    <d v="2025-03-01T00:00:00"/>
    <x v="2"/>
    <x v="1"/>
    <x v="0"/>
    <x v="0"/>
    <x v="1"/>
    <x v="1"/>
    <x v="8"/>
    <x v="2"/>
  </r>
  <r>
    <s v="TX501561"/>
    <x v="8"/>
    <x v="0"/>
    <n v="52.1"/>
    <n v="52.1"/>
    <d v="2025-02-27T00:00:00"/>
    <d v="2025-02-28T00:00:00"/>
    <x v="2"/>
    <x v="2"/>
    <x v="2"/>
    <x v="0"/>
    <x v="2"/>
    <x v="3"/>
    <x v="8"/>
    <x v="2"/>
  </r>
  <r>
    <s v="TX501562"/>
    <x v="19"/>
    <x v="1"/>
    <n v="27"/>
    <n v="54"/>
    <d v="2025-02-27T00:00:00"/>
    <d v="2025-03-02T00:00:00"/>
    <x v="3"/>
    <x v="2"/>
    <x v="0"/>
    <x v="0"/>
    <x v="22"/>
    <x v="2"/>
    <x v="8"/>
    <x v="3"/>
  </r>
  <r>
    <s v="TX501563"/>
    <x v="12"/>
    <x v="7"/>
    <n v="31"/>
    <n v="310"/>
    <d v="2025-02-28T00:00:00"/>
    <d v="2025-03-01T00:00:00"/>
    <x v="2"/>
    <x v="3"/>
    <x v="2"/>
    <x v="0"/>
    <x v="22"/>
    <x v="3"/>
    <x v="8"/>
    <x v="2"/>
  </r>
  <r>
    <s v="TX501564"/>
    <x v="10"/>
    <x v="1"/>
    <n v="46.7"/>
    <n v="93.4"/>
    <d v="2025-02-28T00:00:00"/>
    <d v="2025-02-28T00:00:00"/>
    <x v="2"/>
    <x v="0"/>
    <x v="0"/>
    <x v="0"/>
    <x v="34"/>
    <x v="7"/>
    <x v="8"/>
    <x v="2"/>
  </r>
  <r>
    <s v="TX501565"/>
    <x v="6"/>
    <x v="0"/>
    <n v="144.69999999999999"/>
    <n v="144.69999999999999"/>
    <d v="2025-02-28T00:00:00"/>
    <d v="2025-03-03T00:00:00"/>
    <x v="1"/>
    <x v="0"/>
    <x v="2"/>
    <x v="0"/>
    <x v="3"/>
    <x v="2"/>
    <x v="8"/>
    <x v="1"/>
  </r>
  <r>
    <s v="TX501566"/>
    <x v="2"/>
    <x v="11"/>
    <n v="90.9"/>
    <n v="818.1"/>
    <d v="2025-02-28T00:00:00"/>
    <d v="2025-03-01T00:00:00"/>
    <x v="1"/>
    <x v="0"/>
    <x v="2"/>
    <x v="0"/>
    <x v="3"/>
    <x v="3"/>
    <x v="8"/>
    <x v="1"/>
  </r>
  <r>
    <s v="TX501567"/>
    <x v="1"/>
    <x v="1"/>
    <n v="75.8"/>
    <n v="151.6"/>
    <d v="2025-02-28T00:00:00"/>
    <d v="2025-03-01T00:00:00"/>
    <x v="2"/>
    <x v="2"/>
    <x v="1"/>
    <x v="0"/>
    <x v="3"/>
    <x v="3"/>
    <x v="8"/>
    <x v="2"/>
  </r>
  <r>
    <s v="TX501568"/>
    <x v="7"/>
    <x v="9"/>
    <n v="57.9"/>
    <n v="289.5"/>
    <d v="2025-02-28T00:00:00"/>
    <d v="2025-03-02T00:00:00"/>
    <x v="1"/>
    <x v="2"/>
    <x v="2"/>
    <x v="0"/>
    <x v="3"/>
    <x v="1"/>
    <x v="8"/>
    <x v="1"/>
  </r>
  <r>
    <s v="TX501569"/>
    <x v="8"/>
    <x v="9"/>
    <n v="44.8"/>
    <n v="224"/>
    <d v="2025-02-28T00:00:00"/>
    <d v="2025-03-01T00:00:00"/>
    <x v="2"/>
    <x v="3"/>
    <x v="2"/>
    <x v="0"/>
    <x v="3"/>
    <x v="3"/>
    <x v="8"/>
    <x v="2"/>
  </r>
  <r>
    <s v="TX501570"/>
    <x v="9"/>
    <x v="2"/>
    <n v="44.2"/>
    <n v="132.60000000000002"/>
    <d v="2025-02-28T00:00:00"/>
    <d v="2025-03-04T00:00:00"/>
    <x v="1"/>
    <x v="2"/>
    <x v="2"/>
    <x v="0"/>
    <x v="3"/>
    <x v="5"/>
    <x v="8"/>
    <x v="1"/>
  </r>
  <r>
    <s v="TX501571"/>
    <x v="5"/>
    <x v="9"/>
    <n v="53.5"/>
    <n v="267.5"/>
    <d v="2025-02-28T00:00:00"/>
    <d v="2025-03-02T00:00:00"/>
    <x v="1"/>
    <x v="0"/>
    <x v="0"/>
    <x v="0"/>
    <x v="37"/>
    <x v="1"/>
    <x v="8"/>
    <x v="1"/>
  </r>
  <r>
    <s v="TX501572"/>
    <x v="6"/>
    <x v="1"/>
    <n v="72.2"/>
    <n v="144.4"/>
    <d v="2025-02-28T00:00:00"/>
    <d v="2025-03-01T00:00:00"/>
    <x v="1"/>
    <x v="0"/>
    <x v="2"/>
    <x v="0"/>
    <x v="25"/>
    <x v="3"/>
    <x v="8"/>
    <x v="1"/>
  </r>
  <r>
    <s v="TX501573"/>
    <x v="6"/>
    <x v="12"/>
    <n v="62.4"/>
    <n v="249.6"/>
    <d v="2025-02-28T00:00:00"/>
    <d v="2025-03-03T00:00:00"/>
    <x v="2"/>
    <x v="0"/>
    <x v="1"/>
    <x v="0"/>
    <x v="23"/>
    <x v="2"/>
    <x v="8"/>
    <x v="2"/>
  </r>
  <r>
    <s v="TX501574"/>
    <x v="10"/>
    <x v="9"/>
    <n v="24.7"/>
    <n v="123.5"/>
    <d v="2025-02-28T00:00:00"/>
    <d v="2025-03-01T00:00:00"/>
    <x v="2"/>
    <x v="0"/>
    <x v="0"/>
    <x v="0"/>
    <x v="6"/>
    <x v="3"/>
    <x v="8"/>
    <x v="2"/>
  </r>
  <r>
    <s v="TX501575"/>
    <x v="1"/>
    <x v="9"/>
    <n v="61.7"/>
    <n v="308.5"/>
    <d v="2025-02-28T00:00:00"/>
    <d v="2025-03-02T00:00:00"/>
    <x v="2"/>
    <x v="2"/>
    <x v="0"/>
    <x v="0"/>
    <x v="8"/>
    <x v="1"/>
    <x v="8"/>
    <x v="2"/>
  </r>
  <r>
    <s v="TX501576"/>
    <x v="8"/>
    <x v="9"/>
    <n v="18.2"/>
    <n v="91"/>
    <d v="2025-02-28T00:00:00"/>
    <d v="2025-03-02T00:00:00"/>
    <x v="2"/>
    <x v="3"/>
    <x v="0"/>
    <x v="0"/>
    <x v="8"/>
    <x v="1"/>
    <x v="8"/>
    <x v="2"/>
  </r>
  <r>
    <s v="TX501577"/>
    <x v="10"/>
    <x v="12"/>
    <n v="37.200000000000003"/>
    <n v="148.80000000000001"/>
    <d v="2025-02-28T00:00:00"/>
    <d v="2025-03-06T00:00:00"/>
    <x v="2"/>
    <x v="0"/>
    <x v="0"/>
    <x v="0"/>
    <x v="8"/>
    <x v="4"/>
    <x v="8"/>
    <x v="2"/>
  </r>
  <r>
    <s v="TX501578"/>
    <x v="9"/>
    <x v="2"/>
    <n v="53.5"/>
    <n v="160.5"/>
    <d v="2025-02-28T00:00:00"/>
    <d v="2025-03-02T00:00:00"/>
    <x v="2"/>
    <x v="1"/>
    <x v="2"/>
    <x v="0"/>
    <x v="9"/>
    <x v="1"/>
    <x v="8"/>
    <x v="2"/>
  </r>
  <r>
    <s v="TX501579"/>
    <x v="8"/>
    <x v="2"/>
    <n v="43.6"/>
    <n v="130.80000000000001"/>
    <d v="2025-02-28T00:00:00"/>
    <d v="2025-02-28T00:00:00"/>
    <x v="2"/>
    <x v="0"/>
    <x v="0"/>
    <x v="0"/>
    <x v="9"/>
    <x v="7"/>
    <x v="8"/>
    <x v="2"/>
  </r>
  <r>
    <s v="TX501580"/>
    <x v="1"/>
    <x v="7"/>
    <n v="135"/>
    <n v="1350"/>
    <d v="2025-02-28T00:00:00"/>
    <d v="2025-03-02T00:00:00"/>
    <x v="2"/>
    <x v="0"/>
    <x v="2"/>
    <x v="0"/>
    <x v="9"/>
    <x v="1"/>
    <x v="8"/>
    <x v="2"/>
  </r>
  <r>
    <s v="TX501581"/>
    <x v="8"/>
    <x v="9"/>
    <n v="38.5"/>
    <n v="192.5"/>
    <d v="2025-02-28T00:00:00"/>
    <d v="2025-02-28T00:00:00"/>
    <x v="1"/>
    <x v="4"/>
    <x v="2"/>
    <x v="0"/>
    <x v="10"/>
    <x v="7"/>
    <x v="8"/>
    <x v="1"/>
  </r>
  <r>
    <s v="TX501582"/>
    <x v="9"/>
    <x v="1"/>
    <n v="24"/>
    <n v="48"/>
    <d v="2025-02-28T00:00:00"/>
    <d v="2025-03-05T00:00:00"/>
    <x v="2"/>
    <x v="0"/>
    <x v="0"/>
    <x v="0"/>
    <x v="11"/>
    <x v="0"/>
    <x v="8"/>
    <x v="2"/>
  </r>
  <r>
    <s v="TX501583"/>
    <x v="4"/>
    <x v="2"/>
    <n v="28.2"/>
    <n v="84.6"/>
    <d v="2025-02-28T00:00:00"/>
    <d v="2025-03-02T00:00:00"/>
    <x v="1"/>
    <x v="0"/>
    <x v="3"/>
    <x v="0"/>
    <x v="18"/>
    <x v="1"/>
    <x v="8"/>
    <x v="1"/>
  </r>
  <r>
    <s v="TX501584"/>
    <x v="7"/>
    <x v="2"/>
    <n v="37.4"/>
    <n v="112.19999999999999"/>
    <d v="2025-02-28T00:00:00"/>
    <d v="2025-03-01T00:00:00"/>
    <x v="2"/>
    <x v="3"/>
    <x v="0"/>
    <x v="0"/>
    <x v="1"/>
    <x v="3"/>
    <x v="8"/>
    <x v="2"/>
  </r>
  <r>
    <s v="TX501585"/>
    <x v="6"/>
    <x v="2"/>
    <n v="53.5"/>
    <n v="160.5"/>
    <d v="2025-02-28T00:00:00"/>
    <d v="2025-03-03T00:00:00"/>
    <x v="0"/>
    <x v="4"/>
    <x v="4"/>
    <x v="0"/>
    <x v="1"/>
    <x v="2"/>
    <x v="8"/>
    <x v="0"/>
  </r>
  <r>
    <s v="TX501586"/>
    <x v="11"/>
    <x v="9"/>
    <n v="36.200000000000003"/>
    <n v="181"/>
    <d v="2025-02-28T00:00:00"/>
    <d v="2025-03-01T00:00:00"/>
    <x v="1"/>
    <x v="1"/>
    <x v="2"/>
    <x v="0"/>
    <x v="33"/>
    <x v="3"/>
    <x v="8"/>
    <x v="1"/>
  </r>
  <r>
    <s v="TX501587"/>
    <x v="0"/>
    <x v="8"/>
    <n v="31.9"/>
    <n v="255.2"/>
    <d v="2025-02-28T00:00:00"/>
    <d v="2025-03-01T00:00:00"/>
    <x v="2"/>
    <x v="4"/>
    <x v="0"/>
    <x v="0"/>
    <x v="3"/>
    <x v="3"/>
    <x v="8"/>
    <x v="2"/>
  </r>
  <r>
    <s v="TX501588"/>
    <x v="8"/>
    <x v="2"/>
    <n v="21.3"/>
    <n v="63.900000000000006"/>
    <d v="2025-02-28T00:00:00"/>
    <d v="2025-03-01T00:00:00"/>
    <x v="1"/>
    <x v="0"/>
    <x v="2"/>
    <x v="0"/>
    <x v="3"/>
    <x v="3"/>
    <x v="8"/>
    <x v="1"/>
  </r>
  <r>
    <s v="TX501589"/>
    <x v="8"/>
    <x v="0"/>
    <n v="36.299999999999997"/>
    <n v="36.299999999999997"/>
    <d v="2025-02-28T00:00:00"/>
    <d v="2025-03-02T00:00:00"/>
    <x v="3"/>
    <x v="4"/>
    <x v="0"/>
    <x v="0"/>
    <x v="3"/>
    <x v="1"/>
    <x v="8"/>
    <x v="3"/>
  </r>
  <r>
    <s v="TX501590"/>
    <x v="6"/>
    <x v="2"/>
    <n v="110.5"/>
    <n v="331.5"/>
    <d v="2025-02-28T00:00:00"/>
    <d v="2025-03-01T00:00:00"/>
    <x v="2"/>
    <x v="0"/>
    <x v="3"/>
    <x v="0"/>
    <x v="3"/>
    <x v="3"/>
    <x v="8"/>
    <x v="2"/>
  </r>
  <r>
    <s v="TX501591"/>
    <x v="10"/>
    <x v="3"/>
    <n v="32.6"/>
    <n v="228.20000000000002"/>
    <d v="2025-02-28T00:00:00"/>
    <d v="2025-03-02T00:00:00"/>
    <x v="2"/>
    <x v="0"/>
    <x v="1"/>
    <x v="0"/>
    <x v="3"/>
    <x v="1"/>
    <x v="8"/>
    <x v="2"/>
  </r>
  <r>
    <s v="TX501592"/>
    <x v="5"/>
    <x v="2"/>
    <n v="55.6"/>
    <n v="166.8"/>
    <d v="2025-03-01T00:00:00"/>
    <d v="2025-03-14T00:00:00"/>
    <x v="2"/>
    <x v="0"/>
    <x v="0"/>
    <x v="0"/>
    <x v="3"/>
    <x v="10"/>
    <x v="8"/>
    <x v="2"/>
  </r>
  <r>
    <s v="TX501593"/>
    <x v="1"/>
    <x v="12"/>
    <n v="38"/>
    <n v="152"/>
    <d v="2025-03-01T00:00:00"/>
    <d v="2025-03-02T00:00:00"/>
    <x v="2"/>
    <x v="3"/>
    <x v="2"/>
    <x v="0"/>
    <x v="5"/>
    <x v="3"/>
    <x v="8"/>
    <x v="2"/>
  </r>
  <r>
    <s v="TX501594"/>
    <x v="10"/>
    <x v="1"/>
    <n v="51.8"/>
    <n v="103.6"/>
    <d v="2025-03-01T00:00:00"/>
    <d v="2025-03-07T00:00:00"/>
    <x v="1"/>
    <x v="1"/>
    <x v="4"/>
    <x v="0"/>
    <x v="6"/>
    <x v="4"/>
    <x v="8"/>
    <x v="1"/>
  </r>
  <r>
    <s v="TX501595"/>
    <x v="11"/>
    <x v="8"/>
    <n v="28.7"/>
    <n v="229.6"/>
    <d v="2025-03-01T00:00:00"/>
    <d v="2025-03-06T00:00:00"/>
    <x v="2"/>
    <x v="0"/>
    <x v="0"/>
    <x v="0"/>
    <x v="6"/>
    <x v="0"/>
    <x v="8"/>
    <x v="2"/>
  </r>
  <r>
    <s v="TX501596"/>
    <x v="6"/>
    <x v="4"/>
    <n v="52.2"/>
    <n v="626.40000000000009"/>
    <d v="2025-03-01T00:00:00"/>
    <d v="2025-03-01T00:00:00"/>
    <x v="1"/>
    <x v="0"/>
    <x v="1"/>
    <x v="0"/>
    <x v="6"/>
    <x v="7"/>
    <x v="8"/>
    <x v="1"/>
  </r>
  <r>
    <s v="TX501597"/>
    <x v="1"/>
    <x v="1"/>
    <n v="68.2"/>
    <n v="136.4"/>
    <d v="2025-03-01T00:00:00"/>
    <d v="2025-03-02T00:00:00"/>
    <x v="0"/>
    <x v="2"/>
    <x v="0"/>
    <x v="0"/>
    <x v="7"/>
    <x v="3"/>
    <x v="8"/>
    <x v="0"/>
  </r>
  <r>
    <s v="TX501598"/>
    <x v="0"/>
    <x v="2"/>
    <n v="34"/>
    <n v="102"/>
    <d v="2025-03-01T00:00:00"/>
    <d v="2025-03-05T00:00:00"/>
    <x v="2"/>
    <x v="0"/>
    <x v="0"/>
    <x v="0"/>
    <x v="8"/>
    <x v="5"/>
    <x v="8"/>
    <x v="2"/>
  </r>
  <r>
    <s v="TX501599"/>
    <x v="8"/>
    <x v="2"/>
    <n v="19.100000000000001"/>
    <n v="57.300000000000004"/>
    <d v="2025-03-01T00:00:00"/>
    <d v="2025-03-02T00:00:00"/>
    <x v="2"/>
    <x v="4"/>
    <x v="0"/>
    <x v="0"/>
    <x v="8"/>
    <x v="3"/>
    <x v="8"/>
    <x v="2"/>
  </r>
  <r>
    <s v="TX501600"/>
    <x v="5"/>
    <x v="8"/>
    <n v="34"/>
    <n v="272"/>
    <d v="2025-03-01T00:00:00"/>
    <d v="2025-03-09T00:00:00"/>
    <x v="2"/>
    <x v="4"/>
    <x v="0"/>
    <x v="0"/>
    <x v="8"/>
    <x v="9"/>
    <x v="8"/>
    <x v="2"/>
  </r>
  <r>
    <s v="TX501601"/>
    <x v="12"/>
    <x v="1"/>
    <n v="109.1"/>
    <n v="218.2"/>
    <d v="2025-03-01T00:00:00"/>
    <d v="2025-03-03T00:00:00"/>
    <x v="1"/>
    <x v="0"/>
    <x v="2"/>
    <x v="0"/>
    <x v="8"/>
    <x v="1"/>
    <x v="8"/>
    <x v="1"/>
  </r>
  <r>
    <s v="TX501602"/>
    <x v="18"/>
    <x v="1"/>
    <n v="64.8"/>
    <n v="129.6"/>
    <d v="2025-03-01T00:00:00"/>
    <d v="2025-03-03T00:00:00"/>
    <x v="1"/>
    <x v="0"/>
    <x v="2"/>
    <x v="0"/>
    <x v="8"/>
    <x v="1"/>
    <x v="8"/>
    <x v="1"/>
  </r>
  <r>
    <s v="TX501603"/>
    <x v="10"/>
    <x v="1"/>
    <n v="21.1"/>
    <n v="42.2"/>
    <d v="2025-03-01T00:00:00"/>
    <d v="2025-03-01T00:00:00"/>
    <x v="2"/>
    <x v="1"/>
    <x v="0"/>
    <x v="0"/>
    <x v="11"/>
    <x v="7"/>
    <x v="8"/>
    <x v="2"/>
  </r>
  <r>
    <s v="TX501604"/>
    <x v="0"/>
    <x v="8"/>
    <n v="21.3"/>
    <n v="170.4"/>
    <d v="2025-03-01T00:00:00"/>
    <d v="2025-03-03T00:00:00"/>
    <x v="1"/>
    <x v="3"/>
    <x v="1"/>
    <x v="0"/>
    <x v="18"/>
    <x v="1"/>
    <x v="8"/>
    <x v="1"/>
  </r>
  <r>
    <s v="TX501605"/>
    <x v="9"/>
    <x v="2"/>
    <n v="24.3"/>
    <n v="72.900000000000006"/>
    <d v="2025-03-01T00:00:00"/>
    <d v="2025-03-02T00:00:00"/>
    <x v="1"/>
    <x v="1"/>
    <x v="0"/>
    <x v="0"/>
    <x v="19"/>
    <x v="3"/>
    <x v="8"/>
    <x v="1"/>
  </r>
  <r>
    <s v="TX501606"/>
    <x v="8"/>
    <x v="0"/>
    <n v="43.3"/>
    <n v="43.3"/>
    <d v="2025-03-01T00:00:00"/>
    <d v="2025-03-05T00:00:00"/>
    <x v="1"/>
    <x v="1"/>
    <x v="1"/>
    <x v="0"/>
    <x v="13"/>
    <x v="5"/>
    <x v="8"/>
    <x v="1"/>
  </r>
  <r>
    <s v="TX501607"/>
    <x v="9"/>
    <x v="2"/>
    <n v="41"/>
    <n v="123"/>
    <d v="2025-03-01T00:00:00"/>
    <d v="2025-03-02T00:00:00"/>
    <x v="2"/>
    <x v="3"/>
    <x v="4"/>
    <x v="0"/>
    <x v="21"/>
    <x v="3"/>
    <x v="8"/>
    <x v="2"/>
  </r>
  <r>
    <s v="TX501608"/>
    <x v="16"/>
    <x v="2"/>
    <n v="54.1"/>
    <n v="162.30000000000001"/>
    <d v="2025-03-01T00:00:00"/>
    <d v="2025-03-03T00:00:00"/>
    <x v="2"/>
    <x v="4"/>
    <x v="0"/>
    <x v="0"/>
    <x v="21"/>
    <x v="1"/>
    <x v="8"/>
    <x v="2"/>
  </r>
  <r>
    <s v="TX501609"/>
    <x v="11"/>
    <x v="1"/>
    <n v="39"/>
    <n v="78"/>
    <d v="2025-03-01T00:00:00"/>
    <d v="2025-03-02T00:00:00"/>
    <x v="1"/>
    <x v="1"/>
    <x v="2"/>
    <x v="0"/>
    <x v="1"/>
    <x v="3"/>
    <x v="8"/>
    <x v="1"/>
  </r>
  <r>
    <s v="TX501610"/>
    <x v="8"/>
    <x v="1"/>
    <n v="40.299999999999997"/>
    <n v="80.599999999999994"/>
    <d v="2025-03-01T00:00:00"/>
    <d v="2025-03-03T00:00:00"/>
    <x v="1"/>
    <x v="3"/>
    <x v="0"/>
    <x v="0"/>
    <x v="27"/>
    <x v="1"/>
    <x v="8"/>
    <x v="1"/>
  </r>
  <r>
    <s v="TX501611"/>
    <x v="8"/>
    <x v="2"/>
    <n v="24.1"/>
    <n v="72.300000000000011"/>
    <d v="2025-03-01T00:00:00"/>
    <d v="2025-03-02T00:00:00"/>
    <x v="1"/>
    <x v="0"/>
    <x v="2"/>
    <x v="0"/>
    <x v="34"/>
    <x v="3"/>
    <x v="8"/>
    <x v="1"/>
  </r>
  <r>
    <s v="TX501612"/>
    <x v="6"/>
    <x v="9"/>
    <n v="52.3"/>
    <n v="261.5"/>
    <d v="2025-03-01T00:00:00"/>
    <d v="2025-03-02T00:00:00"/>
    <x v="1"/>
    <x v="2"/>
    <x v="0"/>
    <x v="0"/>
    <x v="3"/>
    <x v="3"/>
    <x v="8"/>
    <x v="1"/>
  </r>
  <r>
    <s v="TX501613"/>
    <x v="12"/>
    <x v="12"/>
    <n v="68.8"/>
    <n v="275.2"/>
    <d v="2025-03-01T00:00:00"/>
    <d v="2025-03-05T00:00:00"/>
    <x v="2"/>
    <x v="4"/>
    <x v="2"/>
    <x v="0"/>
    <x v="3"/>
    <x v="5"/>
    <x v="8"/>
    <x v="2"/>
  </r>
  <r>
    <s v="TX501614"/>
    <x v="2"/>
    <x v="1"/>
    <n v="128.80000000000001"/>
    <n v="257.60000000000002"/>
    <d v="2025-03-02T00:00:00"/>
    <d v="2025-03-05T00:00:00"/>
    <x v="2"/>
    <x v="1"/>
    <x v="1"/>
    <x v="0"/>
    <x v="3"/>
    <x v="2"/>
    <x v="9"/>
    <x v="2"/>
  </r>
  <r>
    <s v="TX501615"/>
    <x v="15"/>
    <x v="9"/>
    <n v="48.2"/>
    <n v="241"/>
    <d v="2025-03-02T00:00:00"/>
    <d v="2025-03-04T00:00:00"/>
    <x v="2"/>
    <x v="3"/>
    <x v="0"/>
    <x v="0"/>
    <x v="3"/>
    <x v="1"/>
    <x v="9"/>
    <x v="2"/>
  </r>
  <r>
    <s v="TX501616"/>
    <x v="10"/>
    <x v="0"/>
    <n v="39.700000000000003"/>
    <n v="39.700000000000003"/>
    <d v="2025-03-02T00:00:00"/>
    <d v="2025-03-04T00:00:00"/>
    <x v="2"/>
    <x v="0"/>
    <x v="1"/>
    <x v="0"/>
    <x v="3"/>
    <x v="1"/>
    <x v="9"/>
    <x v="2"/>
  </r>
  <r>
    <s v="TX501617"/>
    <x v="9"/>
    <x v="0"/>
    <n v="59.7"/>
    <n v="59.7"/>
    <d v="2025-03-02T00:00:00"/>
    <d v="2025-03-05T00:00:00"/>
    <x v="2"/>
    <x v="4"/>
    <x v="0"/>
    <x v="0"/>
    <x v="3"/>
    <x v="2"/>
    <x v="9"/>
    <x v="2"/>
  </r>
  <r>
    <s v="TX501618"/>
    <x v="6"/>
    <x v="0"/>
    <n v="48.3"/>
    <n v="48.3"/>
    <d v="2025-03-02T00:00:00"/>
    <d v="2025-03-16T00:00:00"/>
    <x v="3"/>
    <x v="0"/>
    <x v="2"/>
    <x v="0"/>
    <x v="3"/>
    <x v="12"/>
    <x v="9"/>
    <x v="3"/>
  </r>
  <r>
    <s v="TX501619"/>
    <x v="8"/>
    <x v="2"/>
    <n v="45.5"/>
    <n v="136.5"/>
    <d v="2025-03-02T00:00:00"/>
    <d v="2025-03-04T00:00:00"/>
    <x v="1"/>
    <x v="2"/>
    <x v="1"/>
    <x v="0"/>
    <x v="3"/>
    <x v="1"/>
    <x v="9"/>
    <x v="1"/>
  </r>
  <r>
    <s v="TX501620"/>
    <x v="9"/>
    <x v="6"/>
    <n v="51"/>
    <n v="1377"/>
    <d v="2025-03-02T00:00:00"/>
    <d v="2025-03-02T00:00:00"/>
    <x v="2"/>
    <x v="2"/>
    <x v="0"/>
    <x v="0"/>
    <x v="3"/>
    <x v="7"/>
    <x v="9"/>
    <x v="2"/>
  </r>
  <r>
    <s v="TX501621"/>
    <x v="4"/>
    <x v="13"/>
    <n v="20.399999999999999"/>
    <n v="122.39999999999999"/>
    <d v="2025-03-02T00:00:00"/>
    <d v="2025-03-03T00:00:00"/>
    <x v="1"/>
    <x v="2"/>
    <x v="0"/>
    <x v="0"/>
    <x v="3"/>
    <x v="3"/>
    <x v="9"/>
    <x v="1"/>
  </r>
  <r>
    <s v="TX501622"/>
    <x v="10"/>
    <x v="1"/>
    <n v="30.4"/>
    <n v="60.8"/>
    <d v="2025-03-02T00:00:00"/>
    <d v="2025-03-04T00:00:00"/>
    <x v="1"/>
    <x v="2"/>
    <x v="0"/>
    <x v="0"/>
    <x v="3"/>
    <x v="1"/>
    <x v="9"/>
    <x v="1"/>
  </r>
  <r>
    <s v="TX501623"/>
    <x v="7"/>
    <x v="1"/>
    <n v="71.5"/>
    <n v="143"/>
    <d v="2025-03-02T00:00:00"/>
    <d v="2025-03-06T00:00:00"/>
    <x v="2"/>
    <x v="0"/>
    <x v="0"/>
    <x v="0"/>
    <x v="3"/>
    <x v="5"/>
    <x v="9"/>
    <x v="2"/>
  </r>
  <r>
    <s v="TX501624"/>
    <x v="8"/>
    <x v="13"/>
    <n v="18"/>
    <n v="108"/>
    <d v="2025-03-02T00:00:00"/>
    <d v="2025-03-03T00:00:00"/>
    <x v="3"/>
    <x v="1"/>
    <x v="2"/>
    <x v="0"/>
    <x v="6"/>
    <x v="3"/>
    <x v="9"/>
    <x v="3"/>
  </r>
  <r>
    <s v="TX501625"/>
    <x v="15"/>
    <x v="5"/>
    <n v="45.6"/>
    <n v="501.6"/>
    <d v="2025-03-02T00:00:00"/>
    <d v="2025-03-03T00:00:00"/>
    <x v="3"/>
    <x v="1"/>
    <x v="1"/>
    <x v="0"/>
    <x v="7"/>
    <x v="3"/>
    <x v="9"/>
    <x v="3"/>
  </r>
  <r>
    <s v="TX501626"/>
    <x v="9"/>
    <x v="0"/>
    <n v="31.8"/>
    <n v="31.8"/>
    <d v="2025-03-02T00:00:00"/>
    <d v="2025-03-06T00:00:00"/>
    <x v="2"/>
    <x v="0"/>
    <x v="2"/>
    <x v="0"/>
    <x v="7"/>
    <x v="5"/>
    <x v="9"/>
    <x v="2"/>
  </r>
  <r>
    <s v="TX501627"/>
    <x v="8"/>
    <x v="9"/>
    <n v="19.899999999999999"/>
    <n v="99.5"/>
    <d v="2025-03-02T00:00:00"/>
    <d v="2025-03-03T00:00:00"/>
    <x v="2"/>
    <x v="1"/>
    <x v="0"/>
    <x v="0"/>
    <x v="7"/>
    <x v="3"/>
    <x v="9"/>
    <x v="2"/>
  </r>
  <r>
    <s v="TX501628"/>
    <x v="12"/>
    <x v="11"/>
    <n v="52.1"/>
    <n v="468.90000000000003"/>
    <d v="2025-03-02T00:00:00"/>
    <d v="2025-03-04T00:00:00"/>
    <x v="1"/>
    <x v="0"/>
    <x v="0"/>
    <x v="0"/>
    <x v="8"/>
    <x v="1"/>
    <x v="9"/>
    <x v="1"/>
  </r>
  <r>
    <s v="TX501629"/>
    <x v="1"/>
    <x v="3"/>
    <n v="45.9"/>
    <n v="321.3"/>
    <d v="2025-03-02T00:00:00"/>
    <d v="2025-03-03T00:00:00"/>
    <x v="1"/>
    <x v="0"/>
    <x v="1"/>
    <x v="0"/>
    <x v="8"/>
    <x v="3"/>
    <x v="9"/>
    <x v="1"/>
  </r>
  <r>
    <s v="TX501630"/>
    <x v="1"/>
    <x v="7"/>
    <n v="115.9"/>
    <n v="1159"/>
    <d v="2025-03-02T00:00:00"/>
    <d v="2025-03-05T00:00:00"/>
    <x v="2"/>
    <x v="1"/>
    <x v="0"/>
    <x v="0"/>
    <x v="8"/>
    <x v="2"/>
    <x v="9"/>
    <x v="2"/>
  </r>
  <r>
    <s v="TX501631"/>
    <x v="6"/>
    <x v="11"/>
    <n v="86"/>
    <n v="774"/>
    <d v="2025-03-02T00:00:00"/>
    <d v="2025-03-07T00:00:00"/>
    <x v="2"/>
    <x v="0"/>
    <x v="1"/>
    <x v="0"/>
    <x v="8"/>
    <x v="0"/>
    <x v="9"/>
    <x v="2"/>
  </r>
  <r>
    <s v="TX501632"/>
    <x v="7"/>
    <x v="3"/>
    <n v="73.599999999999994"/>
    <n v="515.19999999999993"/>
    <d v="2025-03-02T00:00:00"/>
    <d v="2025-03-04T00:00:00"/>
    <x v="2"/>
    <x v="0"/>
    <x v="0"/>
    <x v="0"/>
    <x v="17"/>
    <x v="1"/>
    <x v="9"/>
    <x v="2"/>
  </r>
  <r>
    <s v="TX501633"/>
    <x v="10"/>
    <x v="2"/>
    <n v="26.7"/>
    <n v="80.099999999999994"/>
    <d v="2025-03-02T00:00:00"/>
    <d v="2025-03-06T00:00:00"/>
    <x v="2"/>
    <x v="0"/>
    <x v="0"/>
    <x v="0"/>
    <x v="11"/>
    <x v="5"/>
    <x v="9"/>
    <x v="2"/>
  </r>
  <r>
    <s v="TX501634"/>
    <x v="8"/>
    <x v="3"/>
    <n v="46.6"/>
    <n v="326.2"/>
    <d v="2025-03-02T00:00:00"/>
    <d v="2025-03-04T00:00:00"/>
    <x v="0"/>
    <x v="3"/>
    <x v="0"/>
    <x v="0"/>
    <x v="11"/>
    <x v="1"/>
    <x v="9"/>
    <x v="0"/>
  </r>
  <r>
    <s v="TX501635"/>
    <x v="3"/>
    <x v="2"/>
    <n v="84.6"/>
    <n v="253.79999999999998"/>
    <d v="2025-03-02T00:00:00"/>
    <d v="2025-03-04T00:00:00"/>
    <x v="1"/>
    <x v="4"/>
    <x v="0"/>
    <x v="0"/>
    <x v="11"/>
    <x v="1"/>
    <x v="9"/>
    <x v="1"/>
  </r>
  <r>
    <s v="TX501636"/>
    <x v="7"/>
    <x v="21"/>
    <n v="41.5"/>
    <n v="581"/>
    <d v="2025-03-02T00:00:00"/>
    <d v="2025-03-16T00:00:00"/>
    <x v="1"/>
    <x v="1"/>
    <x v="0"/>
    <x v="0"/>
    <x v="53"/>
    <x v="12"/>
    <x v="9"/>
    <x v="1"/>
  </r>
  <r>
    <s v="TX501637"/>
    <x v="8"/>
    <x v="0"/>
    <n v="32.799999999999997"/>
    <n v="32.799999999999997"/>
    <d v="2025-03-02T00:00:00"/>
    <d v="2025-03-05T00:00:00"/>
    <x v="1"/>
    <x v="0"/>
    <x v="2"/>
    <x v="0"/>
    <x v="30"/>
    <x v="2"/>
    <x v="9"/>
    <x v="1"/>
  </r>
  <r>
    <s v="TX501638"/>
    <x v="4"/>
    <x v="3"/>
    <n v="46.7"/>
    <n v="326.90000000000003"/>
    <d v="2025-03-02T00:00:00"/>
    <d v="2025-03-04T00:00:00"/>
    <x v="3"/>
    <x v="0"/>
    <x v="2"/>
    <x v="0"/>
    <x v="18"/>
    <x v="1"/>
    <x v="9"/>
    <x v="3"/>
  </r>
  <r>
    <s v="TX501639"/>
    <x v="15"/>
    <x v="3"/>
    <n v="21"/>
    <n v="147"/>
    <d v="2025-03-02T00:00:00"/>
    <d v="2025-03-05T00:00:00"/>
    <x v="1"/>
    <x v="2"/>
    <x v="1"/>
    <x v="0"/>
    <x v="21"/>
    <x v="2"/>
    <x v="9"/>
    <x v="1"/>
  </r>
  <r>
    <s v="TX501640"/>
    <x v="5"/>
    <x v="3"/>
    <n v="29.4"/>
    <n v="205.79999999999998"/>
    <d v="2025-03-02T00:00:00"/>
    <d v="2025-03-02T00:00:00"/>
    <x v="1"/>
    <x v="3"/>
    <x v="2"/>
    <x v="0"/>
    <x v="21"/>
    <x v="7"/>
    <x v="9"/>
    <x v="1"/>
  </r>
  <r>
    <s v="TX501641"/>
    <x v="15"/>
    <x v="1"/>
    <n v="32.299999999999997"/>
    <n v="64.599999999999994"/>
    <d v="2025-03-02T00:00:00"/>
    <d v="2025-03-03T00:00:00"/>
    <x v="1"/>
    <x v="0"/>
    <x v="2"/>
    <x v="0"/>
    <x v="21"/>
    <x v="3"/>
    <x v="9"/>
    <x v="1"/>
  </r>
  <r>
    <s v="TX501642"/>
    <x v="6"/>
    <x v="0"/>
    <n v="42.2"/>
    <n v="42.2"/>
    <d v="2025-03-03T00:00:00"/>
    <d v="2025-03-05T00:00:00"/>
    <x v="2"/>
    <x v="0"/>
    <x v="2"/>
    <x v="0"/>
    <x v="21"/>
    <x v="1"/>
    <x v="9"/>
    <x v="2"/>
  </r>
  <r>
    <s v="TX501643"/>
    <x v="6"/>
    <x v="0"/>
    <n v="53.7"/>
    <n v="53.7"/>
    <d v="2025-03-03T00:00:00"/>
    <d v="2025-03-05T00:00:00"/>
    <x v="1"/>
    <x v="1"/>
    <x v="1"/>
    <x v="0"/>
    <x v="1"/>
    <x v="1"/>
    <x v="9"/>
    <x v="1"/>
  </r>
  <r>
    <s v="TX501644"/>
    <x v="2"/>
    <x v="1"/>
    <n v="123.9"/>
    <n v="247.8"/>
    <d v="2025-03-03T00:00:00"/>
    <d v="2025-03-06T00:00:00"/>
    <x v="1"/>
    <x v="2"/>
    <x v="0"/>
    <x v="0"/>
    <x v="1"/>
    <x v="2"/>
    <x v="9"/>
    <x v="1"/>
  </r>
  <r>
    <s v="TX501645"/>
    <x v="4"/>
    <x v="2"/>
    <n v="35.9"/>
    <n v="107.69999999999999"/>
    <d v="2025-03-03T00:00:00"/>
    <d v="2025-03-05T00:00:00"/>
    <x v="1"/>
    <x v="2"/>
    <x v="0"/>
    <x v="0"/>
    <x v="22"/>
    <x v="1"/>
    <x v="9"/>
    <x v="1"/>
  </r>
  <r>
    <s v="TX501646"/>
    <x v="4"/>
    <x v="1"/>
    <n v="23.6"/>
    <n v="47.2"/>
    <d v="2025-03-03T00:00:00"/>
    <d v="2025-03-06T00:00:00"/>
    <x v="1"/>
    <x v="0"/>
    <x v="2"/>
    <x v="0"/>
    <x v="3"/>
    <x v="2"/>
    <x v="9"/>
    <x v="1"/>
  </r>
  <r>
    <s v="TX501647"/>
    <x v="15"/>
    <x v="36"/>
    <n v="45.7"/>
    <n v="1599.5"/>
    <d v="2025-03-03T00:00:00"/>
    <d v="2025-03-04T00:00:00"/>
    <x v="1"/>
    <x v="0"/>
    <x v="1"/>
    <x v="0"/>
    <x v="3"/>
    <x v="3"/>
    <x v="9"/>
    <x v="1"/>
  </r>
  <r>
    <s v="TX501648"/>
    <x v="6"/>
    <x v="5"/>
    <n v="118.3"/>
    <n v="1301.3"/>
    <d v="2025-03-03T00:00:00"/>
    <d v="2025-03-05T00:00:00"/>
    <x v="1"/>
    <x v="4"/>
    <x v="2"/>
    <x v="0"/>
    <x v="3"/>
    <x v="1"/>
    <x v="9"/>
    <x v="1"/>
  </r>
  <r>
    <s v="TX501649"/>
    <x v="19"/>
    <x v="0"/>
    <n v="36"/>
    <n v="36"/>
    <d v="2025-03-03T00:00:00"/>
    <d v="2025-03-04T00:00:00"/>
    <x v="2"/>
    <x v="0"/>
    <x v="1"/>
    <x v="0"/>
    <x v="3"/>
    <x v="3"/>
    <x v="9"/>
    <x v="2"/>
  </r>
  <r>
    <s v="TX501650"/>
    <x v="8"/>
    <x v="1"/>
    <n v="37.1"/>
    <n v="74.2"/>
    <d v="2025-03-03T00:00:00"/>
    <d v="2025-03-06T00:00:00"/>
    <x v="2"/>
    <x v="2"/>
    <x v="0"/>
    <x v="0"/>
    <x v="3"/>
    <x v="2"/>
    <x v="9"/>
    <x v="2"/>
  </r>
  <r>
    <s v="TX501651"/>
    <x v="18"/>
    <x v="2"/>
    <n v="45.1"/>
    <n v="135.30000000000001"/>
    <d v="2025-03-03T00:00:00"/>
    <d v="2025-03-05T00:00:00"/>
    <x v="2"/>
    <x v="1"/>
    <x v="2"/>
    <x v="0"/>
    <x v="3"/>
    <x v="1"/>
    <x v="9"/>
    <x v="2"/>
  </r>
  <r>
    <s v="TX501652"/>
    <x v="5"/>
    <x v="27"/>
    <n v="37.9"/>
    <n v="606.4"/>
    <d v="2025-03-03T00:00:00"/>
    <d v="2025-03-04T00:00:00"/>
    <x v="2"/>
    <x v="3"/>
    <x v="2"/>
    <x v="0"/>
    <x v="3"/>
    <x v="3"/>
    <x v="9"/>
    <x v="2"/>
  </r>
  <r>
    <s v="TX501653"/>
    <x v="2"/>
    <x v="1"/>
    <n v="121.6"/>
    <n v="243.2"/>
    <d v="2025-03-03T00:00:00"/>
    <d v="2025-03-06T00:00:00"/>
    <x v="1"/>
    <x v="3"/>
    <x v="2"/>
    <x v="0"/>
    <x v="3"/>
    <x v="2"/>
    <x v="9"/>
    <x v="1"/>
  </r>
  <r>
    <s v="TX501654"/>
    <x v="5"/>
    <x v="3"/>
    <n v="38.200000000000003"/>
    <n v="267.40000000000003"/>
    <d v="2025-03-03T00:00:00"/>
    <d v="2025-03-06T00:00:00"/>
    <x v="2"/>
    <x v="0"/>
    <x v="0"/>
    <x v="0"/>
    <x v="3"/>
    <x v="2"/>
    <x v="9"/>
    <x v="2"/>
  </r>
  <r>
    <s v="TX501655"/>
    <x v="17"/>
    <x v="1"/>
    <n v="37.200000000000003"/>
    <n v="74.400000000000006"/>
    <d v="2025-03-03T00:00:00"/>
    <d v="2025-03-06T00:00:00"/>
    <x v="1"/>
    <x v="4"/>
    <x v="0"/>
    <x v="0"/>
    <x v="3"/>
    <x v="2"/>
    <x v="9"/>
    <x v="1"/>
  </r>
  <r>
    <s v="TX501656"/>
    <x v="2"/>
    <x v="12"/>
    <n v="115.7"/>
    <n v="462.8"/>
    <d v="2025-03-03T00:00:00"/>
    <d v="2025-03-06T00:00:00"/>
    <x v="2"/>
    <x v="1"/>
    <x v="0"/>
    <x v="0"/>
    <x v="3"/>
    <x v="2"/>
    <x v="9"/>
    <x v="2"/>
  </r>
  <r>
    <s v="TX501657"/>
    <x v="2"/>
    <x v="13"/>
    <n v="99.4"/>
    <n v="596.40000000000009"/>
    <d v="2025-03-03T00:00:00"/>
    <d v="2025-03-06T00:00:00"/>
    <x v="1"/>
    <x v="0"/>
    <x v="2"/>
    <x v="0"/>
    <x v="3"/>
    <x v="2"/>
    <x v="9"/>
    <x v="1"/>
  </r>
  <r>
    <s v="TX501658"/>
    <x v="11"/>
    <x v="0"/>
    <n v="38.700000000000003"/>
    <n v="38.700000000000003"/>
    <d v="2025-03-03T00:00:00"/>
    <d v="2025-03-04T00:00:00"/>
    <x v="2"/>
    <x v="2"/>
    <x v="0"/>
    <x v="0"/>
    <x v="25"/>
    <x v="3"/>
    <x v="9"/>
    <x v="2"/>
  </r>
  <r>
    <s v="TX501659"/>
    <x v="4"/>
    <x v="1"/>
    <n v="35.5"/>
    <n v="71"/>
    <d v="2025-03-03T00:00:00"/>
    <d v="2025-03-06T00:00:00"/>
    <x v="1"/>
    <x v="0"/>
    <x v="2"/>
    <x v="0"/>
    <x v="25"/>
    <x v="2"/>
    <x v="9"/>
    <x v="1"/>
  </r>
  <r>
    <s v="TX501660"/>
    <x v="2"/>
    <x v="12"/>
    <n v="93.3"/>
    <n v="373.2"/>
    <d v="2025-03-03T00:00:00"/>
    <d v="2025-03-06T00:00:00"/>
    <x v="2"/>
    <x v="0"/>
    <x v="2"/>
    <x v="0"/>
    <x v="6"/>
    <x v="2"/>
    <x v="9"/>
    <x v="2"/>
  </r>
  <r>
    <s v="TX501661"/>
    <x v="16"/>
    <x v="0"/>
    <n v="31.4"/>
    <n v="31.4"/>
    <d v="2025-03-03T00:00:00"/>
    <d v="2025-03-08T00:00:00"/>
    <x v="2"/>
    <x v="2"/>
    <x v="2"/>
    <x v="0"/>
    <x v="6"/>
    <x v="0"/>
    <x v="9"/>
    <x v="2"/>
  </r>
  <r>
    <s v="TX501662"/>
    <x v="1"/>
    <x v="0"/>
    <n v="85.9"/>
    <n v="85.9"/>
    <d v="2025-03-03T00:00:00"/>
    <d v="2025-03-06T00:00:00"/>
    <x v="1"/>
    <x v="1"/>
    <x v="0"/>
    <x v="0"/>
    <x v="6"/>
    <x v="2"/>
    <x v="9"/>
    <x v="1"/>
  </r>
  <r>
    <s v="TX501663"/>
    <x v="6"/>
    <x v="8"/>
    <n v="41.7"/>
    <n v="333.6"/>
    <d v="2025-03-03T00:00:00"/>
    <d v="2025-03-11T00:00:00"/>
    <x v="1"/>
    <x v="0"/>
    <x v="2"/>
    <x v="0"/>
    <x v="7"/>
    <x v="9"/>
    <x v="9"/>
    <x v="1"/>
  </r>
  <r>
    <s v="TX501664"/>
    <x v="8"/>
    <x v="12"/>
    <n v="31.5"/>
    <n v="126"/>
    <d v="2025-03-03T00:00:00"/>
    <d v="2025-03-04T00:00:00"/>
    <x v="2"/>
    <x v="0"/>
    <x v="0"/>
    <x v="0"/>
    <x v="7"/>
    <x v="3"/>
    <x v="9"/>
    <x v="2"/>
  </r>
  <r>
    <s v="TX501665"/>
    <x v="8"/>
    <x v="1"/>
    <n v="36.299999999999997"/>
    <n v="72.599999999999994"/>
    <d v="2025-03-03T00:00:00"/>
    <d v="2025-03-04T00:00:00"/>
    <x v="2"/>
    <x v="0"/>
    <x v="4"/>
    <x v="0"/>
    <x v="8"/>
    <x v="3"/>
    <x v="9"/>
    <x v="2"/>
  </r>
  <r>
    <s v="TX501666"/>
    <x v="8"/>
    <x v="2"/>
    <n v="33.4"/>
    <n v="100.19999999999999"/>
    <d v="2025-03-03T00:00:00"/>
    <d v="2025-03-04T00:00:00"/>
    <x v="2"/>
    <x v="3"/>
    <x v="0"/>
    <x v="0"/>
    <x v="17"/>
    <x v="3"/>
    <x v="9"/>
    <x v="2"/>
  </r>
  <r>
    <s v="TX501667"/>
    <x v="2"/>
    <x v="2"/>
    <n v="65.2"/>
    <n v="195.60000000000002"/>
    <d v="2025-03-03T00:00:00"/>
    <d v="2025-03-04T00:00:00"/>
    <x v="2"/>
    <x v="2"/>
    <x v="2"/>
    <x v="0"/>
    <x v="26"/>
    <x v="3"/>
    <x v="9"/>
    <x v="2"/>
  </r>
  <r>
    <s v="TX501668"/>
    <x v="8"/>
    <x v="11"/>
    <n v="65.5"/>
    <n v="589.5"/>
    <d v="2025-03-03T00:00:00"/>
    <d v="2025-03-06T00:00:00"/>
    <x v="2"/>
    <x v="0"/>
    <x v="2"/>
    <x v="0"/>
    <x v="9"/>
    <x v="2"/>
    <x v="9"/>
    <x v="2"/>
  </r>
  <r>
    <s v="TX501669"/>
    <x v="6"/>
    <x v="2"/>
    <n v="52.8"/>
    <n v="158.39999999999998"/>
    <d v="2025-03-03T00:00:00"/>
    <d v="2025-03-06T00:00:00"/>
    <x v="1"/>
    <x v="2"/>
    <x v="0"/>
    <x v="0"/>
    <x v="9"/>
    <x v="2"/>
    <x v="9"/>
    <x v="1"/>
  </r>
  <r>
    <s v="TX501670"/>
    <x v="9"/>
    <x v="9"/>
    <n v="24"/>
    <n v="120"/>
    <d v="2025-03-03T00:00:00"/>
    <d v="2025-03-07T00:00:00"/>
    <x v="1"/>
    <x v="0"/>
    <x v="1"/>
    <x v="0"/>
    <x v="11"/>
    <x v="5"/>
    <x v="9"/>
    <x v="1"/>
  </r>
  <r>
    <s v="TX501671"/>
    <x v="3"/>
    <x v="2"/>
    <n v="51.2"/>
    <n v="153.60000000000002"/>
    <d v="2025-03-03T00:00:00"/>
    <d v="2025-03-04T00:00:00"/>
    <x v="2"/>
    <x v="0"/>
    <x v="0"/>
    <x v="0"/>
    <x v="32"/>
    <x v="3"/>
    <x v="9"/>
    <x v="2"/>
  </r>
  <r>
    <s v="TX501672"/>
    <x v="5"/>
    <x v="2"/>
    <n v="28.3"/>
    <n v="84.9"/>
    <d v="2025-03-03T00:00:00"/>
    <d v="2025-03-05T00:00:00"/>
    <x v="1"/>
    <x v="4"/>
    <x v="0"/>
    <x v="0"/>
    <x v="19"/>
    <x v="1"/>
    <x v="9"/>
    <x v="1"/>
  </r>
  <r>
    <s v="TX501673"/>
    <x v="6"/>
    <x v="2"/>
    <n v="42.3"/>
    <n v="126.89999999999999"/>
    <d v="2025-03-03T00:00:00"/>
    <d v="2025-03-03T00:00:00"/>
    <x v="2"/>
    <x v="2"/>
    <x v="1"/>
    <x v="0"/>
    <x v="19"/>
    <x v="7"/>
    <x v="9"/>
    <x v="2"/>
  </r>
  <r>
    <s v="TX501674"/>
    <x v="2"/>
    <x v="8"/>
    <n v="163.30000000000001"/>
    <n v="1306.4000000000001"/>
    <d v="2025-03-04T00:00:00"/>
    <d v="2025-03-05T00:00:00"/>
    <x v="2"/>
    <x v="1"/>
    <x v="0"/>
    <x v="0"/>
    <x v="13"/>
    <x v="3"/>
    <x v="9"/>
    <x v="2"/>
  </r>
  <r>
    <s v="TX501675"/>
    <x v="6"/>
    <x v="3"/>
    <n v="47.3"/>
    <n v="331.09999999999997"/>
    <d v="2025-03-04T00:00:00"/>
    <d v="2025-03-07T00:00:00"/>
    <x v="2"/>
    <x v="4"/>
    <x v="1"/>
    <x v="0"/>
    <x v="21"/>
    <x v="2"/>
    <x v="9"/>
    <x v="2"/>
  </r>
  <r>
    <s v="TX501676"/>
    <x v="8"/>
    <x v="27"/>
    <n v="27.3"/>
    <n v="436.8"/>
    <d v="2025-03-04T00:00:00"/>
    <d v="2025-03-05T00:00:00"/>
    <x v="2"/>
    <x v="2"/>
    <x v="0"/>
    <x v="0"/>
    <x v="21"/>
    <x v="3"/>
    <x v="9"/>
    <x v="2"/>
  </r>
  <r>
    <s v="TX501677"/>
    <x v="10"/>
    <x v="13"/>
    <n v="34.9"/>
    <n v="209.39999999999998"/>
    <d v="2025-03-04T00:00:00"/>
    <d v="2025-03-15T00:00:00"/>
    <x v="2"/>
    <x v="0"/>
    <x v="0"/>
    <x v="0"/>
    <x v="21"/>
    <x v="11"/>
    <x v="9"/>
    <x v="2"/>
  </r>
  <r>
    <s v="TX501678"/>
    <x v="6"/>
    <x v="1"/>
    <n v="53.9"/>
    <n v="107.8"/>
    <d v="2025-03-04T00:00:00"/>
    <d v="2025-03-07T00:00:00"/>
    <x v="3"/>
    <x v="0"/>
    <x v="4"/>
    <x v="0"/>
    <x v="1"/>
    <x v="2"/>
    <x v="9"/>
    <x v="3"/>
  </r>
  <r>
    <s v="TX501679"/>
    <x v="2"/>
    <x v="1"/>
    <n v="87.2"/>
    <n v="174.4"/>
    <d v="2025-03-04T00:00:00"/>
    <d v="2025-03-05T00:00:00"/>
    <x v="2"/>
    <x v="0"/>
    <x v="1"/>
    <x v="0"/>
    <x v="1"/>
    <x v="3"/>
    <x v="9"/>
    <x v="2"/>
  </r>
  <r>
    <s v="TX501680"/>
    <x v="15"/>
    <x v="0"/>
    <n v="58.8"/>
    <n v="58.8"/>
    <d v="2025-03-04T00:00:00"/>
    <d v="2025-03-06T00:00:00"/>
    <x v="2"/>
    <x v="2"/>
    <x v="0"/>
    <x v="0"/>
    <x v="44"/>
    <x v="1"/>
    <x v="9"/>
    <x v="2"/>
  </r>
  <r>
    <s v="TX501681"/>
    <x v="2"/>
    <x v="3"/>
    <n v="125.5"/>
    <n v="878.5"/>
    <d v="2025-03-04T00:00:00"/>
    <d v="2025-03-05T00:00:00"/>
    <x v="1"/>
    <x v="2"/>
    <x v="4"/>
    <x v="0"/>
    <x v="22"/>
    <x v="3"/>
    <x v="9"/>
    <x v="1"/>
  </r>
  <r>
    <s v="TX501682"/>
    <x v="1"/>
    <x v="12"/>
    <n v="124.6"/>
    <n v="498.4"/>
    <d v="2025-03-04T00:00:00"/>
    <d v="2025-03-06T00:00:00"/>
    <x v="2"/>
    <x v="0"/>
    <x v="1"/>
    <x v="0"/>
    <x v="22"/>
    <x v="1"/>
    <x v="9"/>
    <x v="2"/>
  </r>
  <r>
    <s v="TX501683"/>
    <x v="1"/>
    <x v="3"/>
    <n v="39.9"/>
    <n v="279.3"/>
    <d v="2025-03-04T00:00:00"/>
    <d v="2025-03-05T00:00:00"/>
    <x v="1"/>
    <x v="2"/>
    <x v="1"/>
    <x v="0"/>
    <x v="3"/>
    <x v="3"/>
    <x v="9"/>
    <x v="1"/>
  </r>
  <r>
    <s v="TX501684"/>
    <x v="6"/>
    <x v="0"/>
    <n v="94.6"/>
    <n v="94.6"/>
    <d v="2025-03-04T00:00:00"/>
    <d v="2025-03-18T00:00:00"/>
    <x v="2"/>
    <x v="0"/>
    <x v="1"/>
    <x v="0"/>
    <x v="3"/>
    <x v="12"/>
    <x v="9"/>
    <x v="2"/>
  </r>
  <r>
    <s v="TX501685"/>
    <x v="2"/>
    <x v="1"/>
    <n v="149.6"/>
    <n v="299.2"/>
    <d v="2025-03-04T00:00:00"/>
    <d v="2025-03-05T00:00:00"/>
    <x v="2"/>
    <x v="0"/>
    <x v="0"/>
    <x v="0"/>
    <x v="3"/>
    <x v="3"/>
    <x v="9"/>
    <x v="2"/>
  </r>
  <r>
    <s v="TX501686"/>
    <x v="8"/>
    <x v="0"/>
    <n v="52.2"/>
    <n v="52.2"/>
    <d v="2025-03-04T00:00:00"/>
    <d v="2025-03-05T00:00:00"/>
    <x v="0"/>
    <x v="1"/>
    <x v="0"/>
    <x v="0"/>
    <x v="3"/>
    <x v="3"/>
    <x v="9"/>
    <x v="0"/>
  </r>
  <r>
    <s v="TX501687"/>
    <x v="6"/>
    <x v="1"/>
    <n v="96.5"/>
    <n v="193"/>
    <d v="2025-03-04T00:00:00"/>
    <d v="2025-03-05T00:00:00"/>
    <x v="2"/>
    <x v="1"/>
    <x v="1"/>
    <x v="0"/>
    <x v="3"/>
    <x v="3"/>
    <x v="9"/>
    <x v="2"/>
  </r>
  <r>
    <s v="TX501688"/>
    <x v="8"/>
    <x v="1"/>
    <n v="79.8"/>
    <n v="159.6"/>
    <d v="2025-03-04T00:00:00"/>
    <d v="2025-03-06T00:00:00"/>
    <x v="2"/>
    <x v="0"/>
    <x v="1"/>
    <x v="0"/>
    <x v="3"/>
    <x v="1"/>
    <x v="9"/>
    <x v="2"/>
  </r>
  <r>
    <s v="TX501689"/>
    <x v="8"/>
    <x v="2"/>
    <n v="35.6"/>
    <n v="106.80000000000001"/>
    <d v="2025-03-04T00:00:00"/>
    <d v="2025-03-05T00:00:00"/>
    <x v="2"/>
    <x v="2"/>
    <x v="0"/>
    <x v="0"/>
    <x v="3"/>
    <x v="3"/>
    <x v="9"/>
    <x v="2"/>
  </r>
  <r>
    <s v="TX501690"/>
    <x v="16"/>
    <x v="0"/>
    <n v="50.2"/>
    <n v="50.2"/>
    <d v="2025-03-04T00:00:00"/>
    <d v="2025-03-05T00:00:00"/>
    <x v="2"/>
    <x v="1"/>
    <x v="2"/>
    <x v="0"/>
    <x v="3"/>
    <x v="3"/>
    <x v="9"/>
    <x v="2"/>
  </r>
  <r>
    <s v="TX501691"/>
    <x v="1"/>
    <x v="2"/>
    <n v="55.3"/>
    <n v="165.89999999999998"/>
    <d v="2025-03-04T00:00:00"/>
    <d v="2025-03-07T00:00:00"/>
    <x v="2"/>
    <x v="0"/>
    <x v="4"/>
    <x v="0"/>
    <x v="40"/>
    <x v="2"/>
    <x v="9"/>
    <x v="2"/>
  </r>
  <r>
    <s v="TX501692"/>
    <x v="6"/>
    <x v="3"/>
    <n v="104.5"/>
    <n v="731.5"/>
    <d v="2025-03-04T00:00:00"/>
    <d v="2025-03-08T00:00:00"/>
    <x v="2"/>
    <x v="1"/>
    <x v="0"/>
    <x v="0"/>
    <x v="7"/>
    <x v="5"/>
    <x v="9"/>
    <x v="2"/>
  </r>
  <r>
    <s v="TX501693"/>
    <x v="6"/>
    <x v="12"/>
    <n v="66.5"/>
    <n v="266"/>
    <d v="2025-03-04T00:00:00"/>
    <d v="2025-03-06T00:00:00"/>
    <x v="1"/>
    <x v="1"/>
    <x v="0"/>
    <x v="0"/>
    <x v="7"/>
    <x v="1"/>
    <x v="9"/>
    <x v="1"/>
  </r>
  <r>
    <s v="TX501694"/>
    <x v="10"/>
    <x v="8"/>
    <n v="38.299999999999997"/>
    <n v="306.39999999999998"/>
    <d v="2025-03-04T00:00:00"/>
    <d v="2025-03-05T00:00:00"/>
    <x v="2"/>
    <x v="0"/>
    <x v="0"/>
    <x v="0"/>
    <x v="7"/>
    <x v="3"/>
    <x v="9"/>
    <x v="2"/>
  </r>
  <r>
    <s v="TX501695"/>
    <x v="6"/>
    <x v="2"/>
    <n v="63.8"/>
    <n v="191.39999999999998"/>
    <d v="2025-03-04T00:00:00"/>
    <d v="2025-03-07T00:00:00"/>
    <x v="2"/>
    <x v="1"/>
    <x v="0"/>
    <x v="0"/>
    <x v="8"/>
    <x v="2"/>
    <x v="9"/>
    <x v="2"/>
  </r>
  <r>
    <s v="TX501696"/>
    <x v="15"/>
    <x v="0"/>
    <n v="21.4"/>
    <n v="21.4"/>
    <d v="2025-03-04T00:00:00"/>
    <d v="2025-03-04T00:00:00"/>
    <x v="1"/>
    <x v="4"/>
    <x v="0"/>
    <x v="0"/>
    <x v="8"/>
    <x v="7"/>
    <x v="9"/>
    <x v="1"/>
  </r>
  <r>
    <s v="TX501697"/>
    <x v="8"/>
    <x v="12"/>
    <n v="44.1"/>
    <n v="176.4"/>
    <d v="2025-03-04T00:00:00"/>
    <d v="2025-03-06T00:00:00"/>
    <x v="2"/>
    <x v="2"/>
    <x v="0"/>
    <x v="0"/>
    <x v="8"/>
    <x v="1"/>
    <x v="9"/>
    <x v="2"/>
  </r>
  <r>
    <s v="TX501698"/>
    <x v="5"/>
    <x v="8"/>
    <n v="57.6"/>
    <n v="460.8"/>
    <d v="2025-03-04T00:00:00"/>
    <d v="2025-03-06T00:00:00"/>
    <x v="1"/>
    <x v="1"/>
    <x v="2"/>
    <x v="0"/>
    <x v="8"/>
    <x v="1"/>
    <x v="9"/>
    <x v="1"/>
  </r>
  <r>
    <s v="TX501699"/>
    <x v="9"/>
    <x v="1"/>
    <n v="20.3"/>
    <n v="40.6"/>
    <d v="2025-03-04T00:00:00"/>
    <d v="2025-03-10T00:00:00"/>
    <x v="2"/>
    <x v="3"/>
    <x v="0"/>
    <x v="0"/>
    <x v="8"/>
    <x v="4"/>
    <x v="9"/>
    <x v="2"/>
  </r>
  <r>
    <s v="TX501700"/>
    <x v="8"/>
    <x v="0"/>
    <n v="22.9"/>
    <n v="22.9"/>
    <d v="2025-03-04T00:00:00"/>
    <d v="2025-03-06T00:00:00"/>
    <x v="2"/>
    <x v="2"/>
    <x v="2"/>
    <x v="0"/>
    <x v="8"/>
    <x v="1"/>
    <x v="9"/>
    <x v="2"/>
  </r>
  <r>
    <s v="TX501701"/>
    <x v="6"/>
    <x v="12"/>
    <n v="105.9"/>
    <n v="423.6"/>
    <d v="2025-03-04T00:00:00"/>
    <d v="2025-03-05T00:00:00"/>
    <x v="2"/>
    <x v="1"/>
    <x v="2"/>
    <x v="0"/>
    <x v="17"/>
    <x v="3"/>
    <x v="9"/>
    <x v="2"/>
  </r>
  <r>
    <s v="TX501702"/>
    <x v="1"/>
    <x v="11"/>
    <n v="37.4"/>
    <n v="336.59999999999997"/>
    <d v="2025-03-04T00:00:00"/>
    <d v="2025-03-08T00:00:00"/>
    <x v="1"/>
    <x v="1"/>
    <x v="0"/>
    <x v="0"/>
    <x v="11"/>
    <x v="5"/>
    <x v="9"/>
    <x v="1"/>
  </r>
  <r>
    <s v="TX501703"/>
    <x v="18"/>
    <x v="1"/>
    <n v="79"/>
    <n v="158"/>
    <d v="2025-03-04T00:00:00"/>
    <d v="2025-03-05T00:00:00"/>
    <x v="1"/>
    <x v="2"/>
    <x v="0"/>
    <x v="0"/>
    <x v="28"/>
    <x v="3"/>
    <x v="9"/>
    <x v="1"/>
  </r>
  <r>
    <s v="TX501704"/>
    <x v="0"/>
    <x v="2"/>
    <n v="19.3"/>
    <n v="57.900000000000006"/>
    <d v="2025-03-04T00:00:00"/>
    <d v="2025-03-05T00:00:00"/>
    <x v="2"/>
    <x v="4"/>
    <x v="0"/>
    <x v="0"/>
    <x v="21"/>
    <x v="3"/>
    <x v="9"/>
    <x v="2"/>
  </r>
  <r>
    <s v="TX501705"/>
    <x v="0"/>
    <x v="0"/>
    <n v="24"/>
    <n v="24"/>
    <d v="2025-03-04T00:00:00"/>
    <d v="2025-03-05T00:00:00"/>
    <x v="2"/>
    <x v="1"/>
    <x v="0"/>
    <x v="0"/>
    <x v="1"/>
    <x v="3"/>
    <x v="9"/>
    <x v="2"/>
  </r>
  <r>
    <s v="TX501706"/>
    <x v="6"/>
    <x v="9"/>
    <n v="71.3"/>
    <n v="356.5"/>
    <d v="2025-03-04T00:00:00"/>
    <d v="2025-03-07T00:00:00"/>
    <x v="2"/>
    <x v="2"/>
    <x v="0"/>
    <x v="0"/>
    <x v="2"/>
    <x v="2"/>
    <x v="9"/>
    <x v="2"/>
  </r>
  <r>
    <s v="TX501707"/>
    <x v="5"/>
    <x v="1"/>
    <n v="166.2"/>
    <n v="332.4"/>
    <d v="2025-03-04T00:00:00"/>
    <d v="2025-03-05T00:00:00"/>
    <x v="1"/>
    <x v="0"/>
    <x v="2"/>
    <x v="0"/>
    <x v="50"/>
    <x v="3"/>
    <x v="9"/>
    <x v="1"/>
  </r>
  <r>
    <s v="TX501708"/>
    <x v="6"/>
    <x v="0"/>
    <n v="81"/>
    <n v="81"/>
    <d v="2025-03-04T00:00:00"/>
    <d v="2025-03-05T00:00:00"/>
    <x v="2"/>
    <x v="2"/>
    <x v="1"/>
    <x v="0"/>
    <x v="3"/>
    <x v="3"/>
    <x v="9"/>
    <x v="2"/>
  </r>
  <r>
    <s v="TX501709"/>
    <x v="10"/>
    <x v="13"/>
    <n v="38.5"/>
    <n v="231"/>
    <d v="2025-03-04T00:00:00"/>
    <d v="2025-03-08T00:00:00"/>
    <x v="2"/>
    <x v="0"/>
    <x v="0"/>
    <x v="0"/>
    <x v="3"/>
    <x v="5"/>
    <x v="9"/>
    <x v="2"/>
  </r>
  <r>
    <s v="TX501710"/>
    <x v="6"/>
    <x v="0"/>
    <n v="86.1"/>
    <n v="86.1"/>
    <d v="2025-03-04T00:00:00"/>
    <d v="2025-03-06T00:00:00"/>
    <x v="2"/>
    <x v="3"/>
    <x v="0"/>
    <x v="0"/>
    <x v="3"/>
    <x v="1"/>
    <x v="9"/>
    <x v="2"/>
  </r>
  <r>
    <s v="TX501711"/>
    <x v="2"/>
    <x v="9"/>
    <n v="51"/>
    <n v="255"/>
    <d v="2025-03-04T00:00:00"/>
    <d v="2025-03-05T00:00:00"/>
    <x v="1"/>
    <x v="0"/>
    <x v="1"/>
    <x v="0"/>
    <x v="3"/>
    <x v="3"/>
    <x v="9"/>
    <x v="1"/>
  </r>
  <r>
    <s v="TX501712"/>
    <x v="3"/>
    <x v="9"/>
    <n v="115.4"/>
    <n v="577"/>
    <d v="2025-03-04T00:00:00"/>
    <d v="2025-03-05T00:00:00"/>
    <x v="1"/>
    <x v="0"/>
    <x v="0"/>
    <x v="0"/>
    <x v="3"/>
    <x v="3"/>
    <x v="9"/>
    <x v="1"/>
  </r>
  <r>
    <s v="TX501713"/>
    <x v="6"/>
    <x v="12"/>
    <n v="176.5"/>
    <n v="706"/>
    <d v="2025-03-04T00:00:00"/>
    <d v="2025-03-05T00:00:00"/>
    <x v="2"/>
    <x v="2"/>
    <x v="2"/>
    <x v="0"/>
    <x v="3"/>
    <x v="3"/>
    <x v="9"/>
    <x v="2"/>
  </r>
  <r>
    <s v="TX501714"/>
    <x v="7"/>
    <x v="2"/>
    <n v="48.9"/>
    <n v="146.69999999999999"/>
    <d v="2025-03-04T00:00:00"/>
    <d v="2025-03-05T00:00:00"/>
    <x v="1"/>
    <x v="4"/>
    <x v="0"/>
    <x v="0"/>
    <x v="3"/>
    <x v="3"/>
    <x v="9"/>
    <x v="1"/>
  </r>
  <r>
    <s v="TX501715"/>
    <x v="8"/>
    <x v="2"/>
    <n v="18.100000000000001"/>
    <n v="54.300000000000004"/>
    <d v="2025-03-04T00:00:00"/>
    <d v="2025-03-11T00:00:00"/>
    <x v="2"/>
    <x v="1"/>
    <x v="2"/>
    <x v="0"/>
    <x v="29"/>
    <x v="6"/>
    <x v="9"/>
    <x v="2"/>
  </r>
  <r>
    <s v="TX501716"/>
    <x v="2"/>
    <x v="1"/>
    <n v="118.5"/>
    <n v="237"/>
    <d v="2025-03-04T00:00:00"/>
    <d v="2025-03-07T00:00:00"/>
    <x v="1"/>
    <x v="1"/>
    <x v="2"/>
    <x v="0"/>
    <x v="16"/>
    <x v="2"/>
    <x v="9"/>
    <x v="1"/>
  </r>
  <r>
    <s v="TX501717"/>
    <x v="15"/>
    <x v="3"/>
    <n v="59.1"/>
    <n v="413.7"/>
    <d v="2025-03-04T00:00:00"/>
    <d v="2025-03-05T00:00:00"/>
    <x v="2"/>
    <x v="3"/>
    <x v="0"/>
    <x v="0"/>
    <x v="25"/>
    <x v="3"/>
    <x v="9"/>
    <x v="2"/>
  </r>
  <r>
    <s v="TX501718"/>
    <x v="4"/>
    <x v="0"/>
    <n v="21.2"/>
    <n v="21.2"/>
    <d v="2025-03-04T00:00:00"/>
    <d v="2025-03-05T00:00:00"/>
    <x v="2"/>
    <x v="0"/>
    <x v="1"/>
    <x v="0"/>
    <x v="6"/>
    <x v="3"/>
    <x v="9"/>
    <x v="2"/>
  </r>
  <r>
    <s v="TX501719"/>
    <x v="6"/>
    <x v="1"/>
    <n v="68.8"/>
    <n v="137.6"/>
    <d v="2025-03-04T00:00:00"/>
    <d v="2025-03-09T00:00:00"/>
    <x v="2"/>
    <x v="3"/>
    <x v="2"/>
    <x v="0"/>
    <x v="6"/>
    <x v="0"/>
    <x v="9"/>
    <x v="2"/>
  </r>
  <r>
    <s v="TX501720"/>
    <x v="6"/>
    <x v="1"/>
    <n v="65.400000000000006"/>
    <n v="130.80000000000001"/>
    <d v="2025-03-04T00:00:00"/>
    <d v="2025-03-08T00:00:00"/>
    <x v="2"/>
    <x v="0"/>
    <x v="0"/>
    <x v="0"/>
    <x v="6"/>
    <x v="5"/>
    <x v="9"/>
    <x v="2"/>
  </r>
  <r>
    <s v="TX501721"/>
    <x v="12"/>
    <x v="9"/>
    <n v="66.3"/>
    <n v="331.5"/>
    <d v="2025-03-05T00:00:00"/>
    <d v="2025-03-08T00:00:00"/>
    <x v="2"/>
    <x v="4"/>
    <x v="0"/>
    <x v="0"/>
    <x v="6"/>
    <x v="2"/>
    <x v="9"/>
    <x v="2"/>
  </r>
  <r>
    <s v="TX501722"/>
    <x v="6"/>
    <x v="2"/>
    <n v="97.5"/>
    <n v="292.5"/>
    <d v="2025-03-05T00:00:00"/>
    <d v="2025-03-05T00:00:00"/>
    <x v="1"/>
    <x v="3"/>
    <x v="0"/>
    <x v="0"/>
    <x v="8"/>
    <x v="7"/>
    <x v="9"/>
    <x v="1"/>
  </r>
  <r>
    <s v="TX501723"/>
    <x v="1"/>
    <x v="1"/>
    <n v="44"/>
    <n v="88"/>
    <d v="2025-03-05T00:00:00"/>
    <d v="2025-03-08T00:00:00"/>
    <x v="2"/>
    <x v="1"/>
    <x v="2"/>
    <x v="0"/>
    <x v="8"/>
    <x v="2"/>
    <x v="9"/>
    <x v="2"/>
  </r>
  <r>
    <s v="TX501724"/>
    <x v="0"/>
    <x v="0"/>
    <n v="21.9"/>
    <n v="21.9"/>
    <d v="2025-03-05T00:00:00"/>
    <d v="2025-03-06T00:00:00"/>
    <x v="1"/>
    <x v="0"/>
    <x v="0"/>
    <x v="0"/>
    <x v="8"/>
    <x v="3"/>
    <x v="9"/>
    <x v="1"/>
  </r>
  <r>
    <s v="TX501725"/>
    <x v="4"/>
    <x v="3"/>
    <n v="21.5"/>
    <n v="150.5"/>
    <d v="2025-03-05T00:00:00"/>
    <d v="2025-03-07T00:00:00"/>
    <x v="2"/>
    <x v="1"/>
    <x v="2"/>
    <x v="0"/>
    <x v="9"/>
    <x v="1"/>
    <x v="9"/>
    <x v="2"/>
  </r>
  <r>
    <s v="TX501726"/>
    <x v="12"/>
    <x v="13"/>
    <n v="133"/>
    <n v="798"/>
    <d v="2025-03-05T00:00:00"/>
    <d v="2025-03-06T00:00:00"/>
    <x v="3"/>
    <x v="0"/>
    <x v="2"/>
    <x v="0"/>
    <x v="10"/>
    <x v="3"/>
    <x v="9"/>
    <x v="3"/>
  </r>
  <r>
    <s v="TX501727"/>
    <x v="8"/>
    <x v="1"/>
    <n v="47.7"/>
    <n v="95.4"/>
    <d v="2025-03-05T00:00:00"/>
    <d v="2025-03-09T00:00:00"/>
    <x v="1"/>
    <x v="0"/>
    <x v="2"/>
    <x v="0"/>
    <x v="10"/>
    <x v="5"/>
    <x v="9"/>
    <x v="1"/>
  </r>
  <r>
    <s v="TX501728"/>
    <x v="16"/>
    <x v="2"/>
    <n v="58.1"/>
    <n v="174.3"/>
    <d v="2025-03-05T00:00:00"/>
    <d v="2025-03-06T00:00:00"/>
    <x v="2"/>
    <x v="0"/>
    <x v="0"/>
    <x v="0"/>
    <x v="11"/>
    <x v="3"/>
    <x v="9"/>
    <x v="2"/>
  </r>
  <r>
    <s v="TX501729"/>
    <x v="12"/>
    <x v="12"/>
    <n v="66.599999999999994"/>
    <n v="266.39999999999998"/>
    <d v="2025-03-05T00:00:00"/>
    <d v="2025-03-06T00:00:00"/>
    <x v="0"/>
    <x v="0"/>
    <x v="0"/>
    <x v="0"/>
    <x v="11"/>
    <x v="3"/>
    <x v="9"/>
    <x v="0"/>
  </r>
  <r>
    <s v="TX501730"/>
    <x v="9"/>
    <x v="0"/>
    <n v="24.1"/>
    <n v="24.1"/>
    <d v="2025-03-05T00:00:00"/>
    <d v="2025-03-08T00:00:00"/>
    <x v="1"/>
    <x v="2"/>
    <x v="1"/>
    <x v="0"/>
    <x v="19"/>
    <x v="2"/>
    <x v="9"/>
    <x v="1"/>
  </r>
  <r>
    <s v="TX501731"/>
    <x v="10"/>
    <x v="9"/>
    <n v="51.5"/>
    <n v="257.5"/>
    <d v="2025-03-05T00:00:00"/>
    <d v="2025-03-10T00:00:00"/>
    <x v="2"/>
    <x v="0"/>
    <x v="0"/>
    <x v="0"/>
    <x v="13"/>
    <x v="0"/>
    <x v="9"/>
    <x v="2"/>
  </r>
  <r>
    <s v="TX501732"/>
    <x v="0"/>
    <x v="5"/>
    <n v="25.8"/>
    <n v="283.8"/>
    <d v="2025-03-05T00:00:00"/>
    <d v="2025-03-09T00:00:00"/>
    <x v="2"/>
    <x v="3"/>
    <x v="4"/>
    <x v="0"/>
    <x v="21"/>
    <x v="5"/>
    <x v="9"/>
    <x v="2"/>
  </r>
  <r>
    <s v="TX501733"/>
    <x v="9"/>
    <x v="12"/>
    <n v="47.7"/>
    <n v="190.8"/>
    <d v="2025-03-05T00:00:00"/>
    <d v="2025-03-05T00:00:00"/>
    <x v="2"/>
    <x v="0"/>
    <x v="1"/>
    <x v="0"/>
    <x v="21"/>
    <x v="7"/>
    <x v="9"/>
    <x v="2"/>
  </r>
  <r>
    <s v="TX501734"/>
    <x v="7"/>
    <x v="9"/>
    <n v="73.599999999999994"/>
    <n v="368"/>
    <d v="2025-03-05T00:00:00"/>
    <d v="2025-03-09T00:00:00"/>
    <x v="1"/>
    <x v="1"/>
    <x v="0"/>
    <x v="0"/>
    <x v="21"/>
    <x v="5"/>
    <x v="9"/>
    <x v="1"/>
  </r>
  <r>
    <s v="TX501735"/>
    <x v="5"/>
    <x v="3"/>
    <n v="91.2"/>
    <n v="638.4"/>
    <d v="2025-03-05T00:00:00"/>
    <d v="2025-03-06T00:00:00"/>
    <x v="1"/>
    <x v="1"/>
    <x v="2"/>
    <x v="0"/>
    <x v="21"/>
    <x v="3"/>
    <x v="9"/>
    <x v="1"/>
  </r>
  <r>
    <s v="TX501736"/>
    <x v="1"/>
    <x v="8"/>
    <n v="36.200000000000003"/>
    <n v="289.60000000000002"/>
    <d v="2025-03-05T00:00:00"/>
    <d v="2025-03-05T00:00:00"/>
    <x v="1"/>
    <x v="2"/>
    <x v="2"/>
    <x v="0"/>
    <x v="1"/>
    <x v="7"/>
    <x v="9"/>
    <x v="1"/>
  </r>
  <r>
    <s v="TX501737"/>
    <x v="9"/>
    <x v="8"/>
    <n v="98"/>
    <n v="784"/>
    <d v="2025-03-05T00:00:00"/>
    <d v="2025-03-09T00:00:00"/>
    <x v="2"/>
    <x v="2"/>
    <x v="0"/>
    <x v="0"/>
    <x v="2"/>
    <x v="5"/>
    <x v="9"/>
    <x v="2"/>
  </r>
  <r>
    <s v="TX501738"/>
    <x v="1"/>
    <x v="8"/>
    <n v="43.6"/>
    <n v="348.8"/>
    <d v="2025-03-05T00:00:00"/>
    <d v="2025-03-06T00:00:00"/>
    <x v="2"/>
    <x v="2"/>
    <x v="0"/>
    <x v="0"/>
    <x v="22"/>
    <x v="3"/>
    <x v="9"/>
    <x v="2"/>
  </r>
  <r>
    <s v="TX501739"/>
    <x v="8"/>
    <x v="7"/>
    <n v="37.799999999999997"/>
    <n v="378"/>
    <d v="2025-03-05T00:00:00"/>
    <d v="2025-03-05T00:00:00"/>
    <x v="3"/>
    <x v="0"/>
    <x v="0"/>
    <x v="0"/>
    <x v="50"/>
    <x v="7"/>
    <x v="9"/>
    <x v="3"/>
  </r>
  <r>
    <s v="TX501740"/>
    <x v="17"/>
    <x v="9"/>
    <n v="63.7"/>
    <n v="318.5"/>
    <d v="2025-03-05T00:00:00"/>
    <d v="2025-03-08T00:00:00"/>
    <x v="2"/>
    <x v="2"/>
    <x v="1"/>
    <x v="0"/>
    <x v="3"/>
    <x v="2"/>
    <x v="9"/>
    <x v="2"/>
  </r>
  <r>
    <s v="TX501741"/>
    <x v="5"/>
    <x v="11"/>
    <n v="62.9"/>
    <n v="566.1"/>
    <d v="2025-03-05T00:00:00"/>
    <d v="2025-03-10T00:00:00"/>
    <x v="1"/>
    <x v="3"/>
    <x v="2"/>
    <x v="0"/>
    <x v="3"/>
    <x v="0"/>
    <x v="9"/>
    <x v="1"/>
  </r>
  <r>
    <s v="TX501742"/>
    <x v="6"/>
    <x v="3"/>
    <n v="61.7"/>
    <n v="431.90000000000003"/>
    <d v="2025-03-05T00:00:00"/>
    <d v="2025-03-08T00:00:00"/>
    <x v="2"/>
    <x v="2"/>
    <x v="2"/>
    <x v="0"/>
    <x v="3"/>
    <x v="2"/>
    <x v="9"/>
    <x v="2"/>
  </r>
  <r>
    <s v="TX501743"/>
    <x v="18"/>
    <x v="21"/>
    <n v="36.5"/>
    <n v="511"/>
    <d v="2025-03-05T00:00:00"/>
    <d v="2025-03-06T00:00:00"/>
    <x v="1"/>
    <x v="0"/>
    <x v="2"/>
    <x v="0"/>
    <x v="3"/>
    <x v="3"/>
    <x v="9"/>
    <x v="1"/>
  </r>
  <r>
    <s v="TX501744"/>
    <x v="11"/>
    <x v="2"/>
    <n v="98.6"/>
    <n v="295.79999999999995"/>
    <d v="2025-03-05T00:00:00"/>
    <d v="2025-03-08T00:00:00"/>
    <x v="3"/>
    <x v="0"/>
    <x v="4"/>
    <x v="0"/>
    <x v="3"/>
    <x v="2"/>
    <x v="9"/>
    <x v="3"/>
  </r>
  <r>
    <s v="TX501745"/>
    <x v="8"/>
    <x v="1"/>
    <n v="19.2"/>
    <n v="38.4"/>
    <d v="2025-03-05T00:00:00"/>
    <d v="2025-03-15T00:00:00"/>
    <x v="1"/>
    <x v="0"/>
    <x v="0"/>
    <x v="0"/>
    <x v="3"/>
    <x v="14"/>
    <x v="9"/>
    <x v="1"/>
  </r>
  <r>
    <s v="TX501746"/>
    <x v="3"/>
    <x v="13"/>
    <n v="55.6"/>
    <n v="333.6"/>
    <d v="2025-03-05T00:00:00"/>
    <d v="2025-03-09T00:00:00"/>
    <x v="2"/>
    <x v="0"/>
    <x v="2"/>
    <x v="0"/>
    <x v="3"/>
    <x v="5"/>
    <x v="9"/>
    <x v="2"/>
  </r>
  <r>
    <s v="TX501747"/>
    <x v="5"/>
    <x v="13"/>
    <n v="56.4"/>
    <n v="338.4"/>
    <d v="2025-03-05T00:00:00"/>
    <d v="2025-03-06T00:00:00"/>
    <x v="2"/>
    <x v="1"/>
    <x v="0"/>
    <x v="0"/>
    <x v="3"/>
    <x v="3"/>
    <x v="9"/>
    <x v="2"/>
  </r>
  <r>
    <s v="TX501748"/>
    <x v="4"/>
    <x v="8"/>
    <n v="43.1"/>
    <n v="344.8"/>
    <d v="2025-03-05T00:00:00"/>
    <d v="2025-03-09T00:00:00"/>
    <x v="2"/>
    <x v="4"/>
    <x v="0"/>
    <x v="0"/>
    <x v="3"/>
    <x v="5"/>
    <x v="9"/>
    <x v="2"/>
  </r>
  <r>
    <s v="TX501749"/>
    <x v="1"/>
    <x v="1"/>
    <n v="77.3"/>
    <n v="154.6"/>
    <d v="2025-03-05T00:00:00"/>
    <d v="2025-03-07T00:00:00"/>
    <x v="1"/>
    <x v="0"/>
    <x v="0"/>
    <x v="0"/>
    <x v="6"/>
    <x v="1"/>
    <x v="9"/>
    <x v="1"/>
  </r>
  <r>
    <s v="TX501750"/>
    <x v="9"/>
    <x v="8"/>
    <n v="38.299999999999997"/>
    <n v="306.39999999999998"/>
    <d v="2025-03-05T00:00:00"/>
    <d v="2025-03-06T00:00:00"/>
    <x v="1"/>
    <x v="0"/>
    <x v="0"/>
    <x v="0"/>
    <x v="7"/>
    <x v="3"/>
    <x v="9"/>
    <x v="1"/>
  </r>
  <r>
    <s v="TX501751"/>
    <x v="0"/>
    <x v="3"/>
    <n v="16.8"/>
    <n v="117.60000000000001"/>
    <d v="2025-03-05T00:00:00"/>
    <d v="2025-03-08T00:00:00"/>
    <x v="1"/>
    <x v="2"/>
    <x v="1"/>
    <x v="0"/>
    <x v="8"/>
    <x v="2"/>
    <x v="9"/>
    <x v="1"/>
  </r>
  <r>
    <s v="TX501752"/>
    <x v="2"/>
    <x v="2"/>
    <n v="63.2"/>
    <n v="189.60000000000002"/>
    <d v="2025-03-05T00:00:00"/>
    <d v="2025-03-06T00:00:00"/>
    <x v="2"/>
    <x v="0"/>
    <x v="2"/>
    <x v="0"/>
    <x v="8"/>
    <x v="3"/>
    <x v="9"/>
    <x v="2"/>
  </r>
  <r>
    <s v="TX501753"/>
    <x v="14"/>
    <x v="44"/>
    <n v="39.700000000000003"/>
    <n v="913.1"/>
    <d v="2025-03-05T00:00:00"/>
    <d v="2025-03-06T00:00:00"/>
    <x v="1"/>
    <x v="0"/>
    <x v="0"/>
    <x v="0"/>
    <x v="8"/>
    <x v="3"/>
    <x v="9"/>
    <x v="1"/>
  </r>
  <r>
    <s v="TX501754"/>
    <x v="10"/>
    <x v="2"/>
    <n v="45.8"/>
    <n v="137.39999999999998"/>
    <d v="2025-03-05T00:00:00"/>
    <d v="2025-03-06T00:00:00"/>
    <x v="2"/>
    <x v="1"/>
    <x v="2"/>
    <x v="0"/>
    <x v="8"/>
    <x v="3"/>
    <x v="9"/>
    <x v="2"/>
  </r>
  <r>
    <s v="TX501755"/>
    <x v="0"/>
    <x v="13"/>
    <n v="12.4"/>
    <n v="74.400000000000006"/>
    <d v="2025-03-05T00:00:00"/>
    <d v="2025-03-08T00:00:00"/>
    <x v="1"/>
    <x v="0"/>
    <x v="0"/>
    <x v="0"/>
    <x v="8"/>
    <x v="2"/>
    <x v="9"/>
    <x v="1"/>
  </r>
  <r>
    <s v="TX501756"/>
    <x v="14"/>
    <x v="2"/>
    <n v="50.8"/>
    <n v="152.39999999999998"/>
    <d v="2025-03-06T00:00:00"/>
    <d v="2025-03-06T00:00:00"/>
    <x v="2"/>
    <x v="4"/>
    <x v="0"/>
    <x v="0"/>
    <x v="17"/>
    <x v="7"/>
    <x v="9"/>
    <x v="2"/>
  </r>
  <r>
    <s v="TX501757"/>
    <x v="9"/>
    <x v="0"/>
    <n v="76"/>
    <n v="76"/>
    <d v="2025-03-06T00:00:00"/>
    <d v="2025-03-10T00:00:00"/>
    <x v="3"/>
    <x v="2"/>
    <x v="2"/>
    <x v="0"/>
    <x v="17"/>
    <x v="5"/>
    <x v="9"/>
    <x v="3"/>
  </r>
  <r>
    <s v="TX501758"/>
    <x v="1"/>
    <x v="1"/>
    <n v="51.9"/>
    <n v="103.8"/>
    <d v="2025-03-06T00:00:00"/>
    <d v="2025-03-07T00:00:00"/>
    <x v="1"/>
    <x v="1"/>
    <x v="2"/>
    <x v="0"/>
    <x v="26"/>
    <x v="3"/>
    <x v="9"/>
    <x v="1"/>
  </r>
  <r>
    <s v="TX501759"/>
    <x v="2"/>
    <x v="1"/>
    <n v="93.4"/>
    <n v="186.8"/>
    <d v="2025-03-06T00:00:00"/>
    <d v="2025-03-13T00:00:00"/>
    <x v="1"/>
    <x v="0"/>
    <x v="3"/>
    <x v="0"/>
    <x v="11"/>
    <x v="6"/>
    <x v="9"/>
    <x v="1"/>
  </r>
  <r>
    <s v="TX501760"/>
    <x v="7"/>
    <x v="13"/>
    <n v="30.8"/>
    <n v="184.8"/>
    <d v="2025-03-06T00:00:00"/>
    <d v="2025-03-09T00:00:00"/>
    <x v="2"/>
    <x v="1"/>
    <x v="0"/>
    <x v="0"/>
    <x v="11"/>
    <x v="2"/>
    <x v="9"/>
    <x v="2"/>
  </r>
  <r>
    <s v="TX501761"/>
    <x v="2"/>
    <x v="0"/>
    <n v="143.19999999999999"/>
    <n v="143.19999999999999"/>
    <d v="2025-03-06T00:00:00"/>
    <d v="2025-03-09T00:00:00"/>
    <x v="1"/>
    <x v="2"/>
    <x v="0"/>
    <x v="0"/>
    <x v="11"/>
    <x v="2"/>
    <x v="9"/>
    <x v="1"/>
  </r>
  <r>
    <s v="TX501762"/>
    <x v="6"/>
    <x v="5"/>
    <n v="40.4"/>
    <n v="444.4"/>
    <d v="2025-03-06T00:00:00"/>
    <d v="2025-03-08T00:00:00"/>
    <x v="1"/>
    <x v="2"/>
    <x v="2"/>
    <x v="0"/>
    <x v="18"/>
    <x v="1"/>
    <x v="9"/>
    <x v="1"/>
  </r>
  <r>
    <s v="TX501763"/>
    <x v="2"/>
    <x v="10"/>
    <n v="131.5"/>
    <n v="2498.5"/>
    <d v="2025-03-06T00:00:00"/>
    <d v="2025-03-08T00:00:00"/>
    <x v="1"/>
    <x v="1"/>
    <x v="1"/>
    <x v="0"/>
    <x v="18"/>
    <x v="1"/>
    <x v="9"/>
    <x v="1"/>
  </r>
  <r>
    <s v="TX501764"/>
    <x v="18"/>
    <x v="3"/>
    <n v="61.6"/>
    <n v="431.2"/>
    <d v="2025-03-06T00:00:00"/>
    <d v="2025-03-07T00:00:00"/>
    <x v="1"/>
    <x v="2"/>
    <x v="0"/>
    <x v="0"/>
    <x v="21"/>
    <x v="3"/>
    <x v="9"/>
    <x v="1"/>
  </r>
  <r>
    <s v="TX501765"/>
    <x v="9"/>
    <x v="9"/>
    <n v="32.700000000000003"/>
    <n v="163.5"/>
    <d v="2025-03-06T00:00:00"/>
    <d v="2025-03-08T00:00:00"/>
    <x v="1"/>
    <x v="2"/>
    <x v="0"/>
    <x v="0"/>
    <x v="1"/>
    <x v="1"/>
    <x v="9"/>
    <x v="1"/>
  </r>
  <r>
    <s v="TX501766"/>
    <x v="0"/>
    <x v="7"/>
    <n v="13.7"/>
    <n v="137"/>
    <d v="2025-03-06T00:00:00"/>
    <d v="2025-03-07T00:00:00"/>
    <x v="1"/>
    <x v="0"/>
    <x v="2"/>
    <x v="0"/>
    <x v="3"/>
    <x v="3"/>
    <x v="9"/>
    <x v="1"/>
  </r>
  <r>
    <s v="TX501767"/>
    <x v="0"/>
    <x v="12"/>
    <n v="32.1"/>
    <n v="128.4"/>
    <d v="2025-03-06T00:00:00"/>
    <d v="2025-03-07T00:00:00"/>
    <x v="1"/>
    <x v="4"/>
    <x v="1"/>
    <x v="0"/>
    <x v="3"/>
    <x v="3"/>
    <x v="9"/>
    <x v="1"/>
  </r>
  <r>
    <s v="TX501768"/>
    <x v="14"/>
    <x v="8"/>
    <n v="12"/>
    <n v="96"/>
    <d v="2025-03-06T00:00:00"/>
    <d v="2025-03-07T00:00:00"/>
    <x v="1"/>
    <x v="1"/>
    <x v="0"/>
    <x v="0"/>
    <x v="24"/>
    <x v="3"/>
    <x v="9"/>
    <x v="1"/>
  </r>
  <r>
    <s v="TX501769"/>
    <x v="12"/>
    <x v="0"/>
    <n v="64.3"/>
    <n v="64.3"/>
    <d v="2025-03-06T00:00:00"/>
    <d v="2025-03-08T00:00:00"/>
    <x v="2"/>
    <x v="2"/>
    <x v="2"/>
    <x v="0"/>
    <x v="6"/>
    <x v="1"/>
    <x v="9"/>
    <x v="2"/>
  </r>
  <r>
    <s v="TX501770"/>
    <x v="1"/>
    <x v="2"/>
    <n v="58.2"/>
    <n v="174.60000000000002"/>
    <d v="2025-03-06T00:00:00"/>
    <d v="2025-03-08T00:00:00"/>
    <x v="2"/>
    <x v="1"/>
    <x v="2"/>
    <x v="0"/>
    <x v="6"/>
    <x v="1"/>
    <x v="9"/>
    <x v="2"/>
  </r>
  <r>
    <s v="TX501771"/>
    <x v="6"/>
    <x v="12"/>
    <n v="59.2"/>
    <n v="236.8"/>
    <d v="2025-03-06T00:00:00"/>
    <d v="2025-03-06T00:00:00"/>
    <x v="1"/>
    <x v="1"/>
    <x v="2"/>
    <x v="0"/>
    <x v="6"/>
    <x v="7"/>
    <x v="9"/>
    <x v="1"/>
  </r>
  <r>
    <s v="TX501772"/>
    <x v="10"/>
    <x v="5"/>
    <n v="35.6"/>
    <n v="391.6"/>
    <d v="2025-03-06T00:00:00"/>
    <d v="2025-03-13T00:00:00"/>
    <x v="1"/>
    <x v="0"/>
    <x v="2"/>
    <x v="0"/>
    <x v="8"/>
    <x v="6"/>
    <x v="9"/>
    <x v="1"/>
  </r>
  <r>
    <s v="TX501773"/>
    <x v="16"/>
    <x v="8"/>
    <n v="37"/>
    <n v="296"/>
    <d v="2025-03-06T00:00:00"/>
    <d v="2025-03-10T00:00:00"/>
    <x v="2"/>
    <x v="2"/>
    <x v="1"/>
    <x v="0"/>
    <x v="8"/>
    <x v="5"/>
    <x v="9"/>
    <x v="2"/>
  </r>
  <r>
    <s v="TX501774"/>
    <x v="1"/>
    <x v="15"/>
    <n v="80.8"/>
    <n v="1050.3999999999999"/>
    <d v="2025-03-06T00:00:00"/>
    <d v="2025-03-08T00:00:00"/>
    <x v="2"/>
    <x v="0"/>
    <x v="0"/>
    <x v="0"/>
    <x v="8"/>
    <x v="1"/>
    <x v="9"/>
    <x v="2"/>
  </r>
  <r>
    <s v="TX501775"/>
    <x v="8"/>
    <x v="1"/>
    <n v="63.2"/>
    <n v="126.4"/>
    <d v="2025-03-06T00:00:00"/>
    <d v="2025-03-07T00:00:00"/>
    <x v="1"/>
    <x v="0"/>
    <x v="1"/>
    <x v="0"/>
    <x v="8"/>
    <x v="3"/>
    <x v="9"/>
    <x v="1"/>
  </r>
  <r>
    <s v="TX501776"/>
    <x v="3"/>
    <x v="1"/>
    <n v="40.799999999999997"/>
    <n v="81.599999999999994"/>
    <d v="2025-03-06T00:00:00"/>
    <d v="2025-03-08T00:00:00"/>
    <x v="1"/>
    <x v="0"/>
    <x v="1"/>
    <x v="0"/>
    <x v="17"/>
    <x v="1"/>
    <x v="9"/>
    <x v="1"/>
  </r>
  <r>
    <s v="TX501777"/>
    <x v="13"/>
    <x v="13"/>
    <n v="25.7"/>
    <n v="154.19999999999999"/>
    <d v="2025-03-06T00:00:00"/>
    <d v="2025-03-08T00:00:00"/>
    <x v="1"/>
    <x v="4"/>
    <x v="0"/>
    <x v="0"/>
    <x v="18"/>
    <x v="1"/>
    <x v="9"/>
    <x v="1"/>
  </r>
  <r>
    <s v="TX501778"/>
    <x v="16"/>
    <x v="1"/>
    <n v="49.9"/>
    <n v="99.8"/>
    <d v="2025-03-06T00:00:00"/>
    <d v="2025-03-09T00:00:00"/>
    <x v="1"/>
    <x v="0"/>
    <x v="0"/>
    <x v="0"/>
    <x v="20"/>
    <x v="2"/>
    <x v="9"/>
    <x v="1"/>
  </r>
  <r>
    <s v="TX501779"/>
    <x v="8"/>
    <x v="1"/>
    <n v="20.2"/>
    <n v="40.4"/>
    <d v="2025-03-06T00:00:00"/>
    <d v="2025-03-08T00:00:00"/>
    <x v="2"/>
    <x v="3"/>
    <x v="0"/>
    <x v="0"/>
    <x v="21"/>
    <x v="1"/>
    <x v="9"/>
    <x v="2"/>
  </r>
  <r>
    <s v="TX501780"/>
    <x v="6"/>
    <x v="2"/>
    <n v="48.4"/>
    <n v="145.19999999999999"/>
    <d v="2025-03-06T00:00:00"/>
    <d v="2025-03-11T00:00:00"/>
    <x v="2"/>
    <x v="0"/>
    <x v="2"/>
    <x v="0"/>
    <x v="21"/>
    <x v="0"/>
    <x v="9"/>
    <x v="2"/>
  </r>
  <r>
    <s v="TX501781"/>
    <x v="6"/>
    <x v="1"/>
    <n v="81"/>
    <n v="162"/>
    <d v="2025-03-06T00:00:00"/>
    <d v="2025-03-07T00:00:00"/>
    <x v="2"/>
    <x v="1"/>
    <x v="2"/>
    <x v="0"/>
    <x v="21"/>
    <x v="3"/>
    <x v="9"/>
    <x v="2"/>
  </r>
  <r>
    <s v="TX501782"/>
    <x v="8"/>
    <x v="13"/>
    <n v="19.899999999999999"/>
    <n v="119.39999999999999"/>
    <d v="2025-03-06T00:00:00"/>
    <d v="2025-03-09T00:00:00"/>
    <x v="2"/>
    <x v="0"/>
    <x v="1"/>
    <x v="0"/>
    <x v="22"/>
    <x v="2"/>
    <x v="9"/>
    <x v="2"/>
  </r>
  <r>
    <s v="TX501783"/>
    <x v="4"/>
    <x v="12"/>
    <n v="32.200000000000003"/>
    <n v="128.80000000000001"/>
    <d v="2025-03-06T00:00:00"/>
    <d v="2025-03-16T00:00:00"/>
    <x v="1"/>
    <x v="0"/>
    <x v="0"/>
    <x v="0"/>
    <x v="22"/>
    <x v="14"/>
    <x v="9"/>
    <x v="1"/>
  </r>
  <r>
    <s v="TX501784"/>
    <x v="5"/>
    <x v="2"/>
    <n v="76.8"/>
    <n v="230.39999999999998"/>
    <d v="2025-03-06T00:00:00"/>
    <d v="2025-03-07T00:00:00"/>
    <x v="2"/>
    <x v="0"/>
    <x v="1"/>
    <x v="0"/>
    <x v="3"/>
    <x v="3"/>
    <x v="9"/>
    <x v="2"/>
  </r>
  <r>
    <s v="TX501785"/>
    <x v="6"/>
    <x v="1"/>
    <n v="41.9"/>
    <n v="83.8"/>
    <d v="2025-03-06T00:00:00"/>
    <d v="2025-03-08T00:00:00"/>
    <x v="2"/>
    <x v="0"/>
    <x v="0"/>
    <x v="0"/>
    <x v="3"/>
    <x v="1"/>
    <x v="9"/>
    <x v="2"/>
  </r>
  <r>
    <s v="TX501786"/>
    <x v="0"/>
    <x v="3"/>
    <n v="34"/>
    <n v="238"/>
    <d v="2025-03-06T00:00:00"/>
    <d v="2025-03-08T00:00:00"/>
    <x v="2"/>
    <x v="1"/>
    <x v="2"/>
    <x v="0"/>
    <x v="3"/>
    <x v="1"/>
    <x v="9"/>
    <x v="2"/>
  </r>
  <r>
    <s v="TX501787"/>
    <x v="7"/>
    <x v="3"/>
    <n v="61.3"/>
    <n v="429.09999999999997"/>
    <d v="2025-03-06T00:00:00"/>
    <d v="2025-03-06T00:00:00"/>
    <x v="2"/>
    <x v="4"/>
    <x v="2"/>
    <x v="0"/>
    <x v="3"/>
    <x v="7"/>
    <x v="9"/>
    <x v="2"/>
  </r>
  <r>
    <s v="TX501788"/>
    <x v="9"/>
    <x v="0"/>
    <n v="54.7"/>
    <n v="54.7"/>
    <d v="2025-03-07T00:00:00"/>
    <d v="2025-03-08T00:00:00"/>
    <x v="1"/>
    <x v="0"/>
    <x v="1"/>
    <x v="0"/>
    <x v="3"/>
    <x v="3"/>
    <x v="9"/>
    <x v="1"/>
  </r>
  <r>
    <s v="TX501789"/>
    <x v="6"/>
    <x v="7"/>
    <n v="84.7"/>
    <n v="847"/>
    <d v="2025-03-07T00:00:00"/>
    <d v="2025-03-11T00:00:00"/>
    <x v="2"/>
    <x v="0"/>
    <x v="0"/>
    <x v="0"/>
    <x v="3"/>
    <x v="5"/>
    <x v="9"/>
    <x v="2"/>
  </r>
  <r>
    <s v="TX501790"/>
    <x v="1"/>
    <x v="2"/>
    <n v="93.4"/>
    <n v="280.20000000000005"/>
    <d v="2025-03-07T00:00:00"/>
    <d v="2025-03-11T00:00:00"/>
    <x v="2"/>
    <x v="3"/>
    <x v="0"/>
    <x v="0"/>
    <x v="3"/>
    <x v="5"/>
    <x v="9"/>
    <x v="2"/>
  </r>
  <r>
    <s v="TX501791"/>
    <x v="8"/>
    <x v="9"/>
    <n v="27"/>
    <n v="135"/>
    <d v="2025-03-07T00:00:00"/>
    <d v="2025-03-10T00:00:00"/>
    <x v="1"/>
    <x v="0"/>
    <x v="1"/>
    <x v="0"/>
    <x v="3"/>
    <x v="2"/>
    <x v="9"/>
    <x v="1"/>
  </r>
  <r>
    <s v="TX501792"/>
    <x v="0"/>
    <x v="12"/>
    <n v="10.9"/>
    <n v="43.6"/>
    <d v="2025-03-07T00:00:00"/>
    <d v="2025-03-08T00:00:00"/>
    <x v="1"/>
    <x v="2"/>
    <x v="0"/>
    <x v="0"/>
    <x v="3"/>
    <x v="3"/>
    <x v="9"/>
    <x v="1"/>
  </r>
  <r>
    <s v="TX501793"/>
    <x v="16"/>
    <x v="2"/>
    <n v="48"/>
    <n v="144"/>
    <d v="2025-03-07T00:00:00"/>
    <d v="2025-03-12T00:00:00"/>
    <x v="2"/>
    <x v="4"/>
    <x v="0"/>
    <x v="0"/>
    <x v="3"/>
    <x v="0"/>
    <x v="9"/>
    <x v="2"/>
  </r>
  <r>
    <s v="TX501794"/>
    <x v="5"/>
    <x v="1"/>
    <n v="67.900000000000006"/>
    <n v="135.80000000000001"/>
    <d v="2025-03-07T00:00:00"/>
    <d v="2025-03-08T00:00:00"/>
    <x v="1"/>
    <x v="0"/>
    <x v="2"/>
    <x v="0"/>
    <x v="23"/>
    <x v="3"/>
    <x v="9"/>
    <x v="1"/>
  </r>
  <r>
    <s v="TX501795"/>
    <x v="4"/>
    <x v="2"/>
    <n v="36"/>
    <n v="108"/>
    <d v="2025-03-07T00:00:00"/>
    <d v="2025-03-08T00:00:00"/>
    <x v="1"/>
    <x v="1"/>
    <x v="0"/>
    <x v="0"/>
    <x v="6"/>
    <x v="3"/>
    <x v="9"/>
    <x v="1"/>
  </r>
  <r>
    <s v="TX501796"/>
    <x v="2"/>
    <x v="0"/>
    <n v="128.80000000000001"/>
    <n v="128.80000000000001"/>
    <d v="2025-03-07T00:00:00"/>
    <d v="2025-03-08T00:00:00"/>
    <x v="1"/>
    <x v="4"/>
    <x v="2"/>
    <x v="0"/>
    <x v="6"/>
    <x v="3"/>
    <x v="9"/>
    <x v="1"/>
  </r>
  <r>
    <s v="TX501797"/>
    <x v="18"/>
    <x v="3"/>
    <n v="33.299999999999997"/>
    <n v="233.09999999999997"/>
    <d v="2025-03-07T00:00:00"/>
    <d v="2025-03-08T00:00:00"/>
    <x v="2"/>
    <x v="3"/>
    <x v="0"/>
    <x v="0"/>
    <x v="8"/>
    <x v="3"/>
    <x v="9"/>
    <x v="2"/>
  </r>
  <r>
    <s v="TX501798"/>
    <x v="10"/>
    <x v="2"/>
    <n v="37.799999999999997"/>
    <n v="113.39999999999999"/>
    <d v="2025-03-07T00:00:00"/>
    <d v="2025-03-09T00:00:00"/>
    <x v="1"/>
    <x v="1"/>
    <x v="2"/>
    <x v="0"/>
    <x v="8"/>
    <x v="1"/>
    <x v="9"/>
    <x v="1"/>
  </r>
  <r>
    <s v="TX501799"/>
    <x v="5"/>
    <x v="2"/>
    <n v="26"/>
    <n v="78"/>
    <d v="2025-03-07T00:00:00"/>
    <d v="2025-03-12T00:00:00"/>
    <x v="2"/>
    <x v="0"/>
    <x v="0"/>
    <x v="0"/>
    <x v="8"/>
    <x v="0"/>
    <x v="9"/>
    <x v="2"/>
  </r>
  <r>
    <s v="TX501800"/>
    <x v="8"/>
    <x v="10"/>
    <n v="28.3"/>
    <n v="537.70000000000005"/>
    <d v="2025-03-07T00:00:00"/>
    <d v="2025-03-08T00:00:00"/>
    <x v="2"/>
    <x v="3"/>
    <x v="4"/>
    <x v="0"/>
    <x v="8"/>
    <x v="3"/>
    <x v="9"/>
    <x v="2"/>
  </r>
  <r>
    <s v="TX501801"/>
    <x v="8"/>
    <x v="12"/>
    <n v="31.3"/>
    <n v="125.2"/>
    <d v="2025-03-07T00:00:00"/>
    <d v="2025-03-07T00:00:00"/>
    <x v="2"/>
    <x v="0"/>
    <x v="0"/>
    <x v="0"/>
    <x v="8"/>
    <x v="7"/>
    <x v="9"/>
    <x v="2"/>
  </r>
  <r>
    <s v="TX501802"/>
    <x v="7"/>
    <x v="2"/>
    <n v="69.5"/>
    <n v="208.5"/>
    <d v="2025-03-07T00:00:00"/>
    <d v="2025-03-08T00:00:00"/>
    <x v="2"/>
    <x v="3"/>
    <x v="2"/>
    <x v="0"/>
    <x v="8"/>
    <x v="3"/>
    <x v="9"/>
    <x v="2"/>
  </r>
  <r>
    <s v="TX501803"/>
    <x v="0"/>
    <x v="1"/>
    <n v="16.7"/>
    <n v="33.4"/>
    <d v="2025-03-07T00:00:00"/>
    <d v="2025-03-08T00:00:00"/>
    <x v="2"/>
    <x v="3"/>
    <x v="1"/>
    <x v="0"/>
    <x v="8"/>
    <x v="3"/>
    <x v="9"/>
    <x v="2"/>
  </r>
  <r>
    <s v="TX501804"/>
    <x v="9"/>
    <x v="1"/>
    <n v="62.6"/>
    <n v="125.2"/>
    <d v="2025-03-07T00:00:00"/>
    <d v="2025-03-08T00:00:00"/>
    <x v="1"/>
    <x v="2"/>
    <x v="2"/>
    <x v="0"/>
    <x v="9"/>
    <x v="3"/>
    <x v="9"/>
    <x v="1"/>
  </r>
  <r>
    <s v="TX501805"/>
    <x v="7"/>
    <x v="0"/>
    <n v="81.2"/>
    <n v="81.2"/>
    <d v="2025-03-07T00:00:00"/>
    <d v="2025-03-13T00:00:00"/>
    <x v="1"/>
    <x v="4"/>
    <x v="4"/>
    <x v="0"/>
    <x v="9"/>
    <x v="4"/>
    <x v="9"/>
    <x v="1"/>
  </r>
  <r>
    <s v="TX501806"/>
    <x v="0"/>
    <x v="7"/>
    <n v="12.7"/>
    <n v="127"/>
    <d v="2025-03-07T00:00:00"/>
    <d v="2025-03-08T00:00:00"/>
    <x v="2"/>
    <x v="0"/>
    <x v="2"/>
    <x v="0"/>
    <x v="9"/>
    <x v="3"/>
    <x v="9"/>
    <x v="2"/>
  </r>
  <r>
    <s v="TX501807"/>
    <x v="7"/>
    <x v="12"/>
    <n v="77.7"/>
    <n v="310.8"/>
    <d v="2025-03-08T00:00:00"/>
    <d v="2025-03-12T00:00:00"/>
    <x v="1"/>
    <x v="1"/>
    <x v="0"/>
    <x v="0"/>
    <x v="11"/>
    <x v="5"/>
    <x v="9"/>
    <x v="1"/>
  </r>
  <r>
    <s v="TX501808"/>
    <x v="5"/>
    <x v="1"/>
    <n v="37.299999999999997"/>
    <n v="74.599999999999994"/>
    <d v="2025-03-08T00:00:00"/>
    <d v="2025-03-09T00:00:00"/>
    <x v="2"/>
    <x v="0"/>
    <x v="2"/>
    <x v="0"/>
    <x v="18"/>
    <x v="3"/>
    <x v="9"/>
    <x v="2"/>
  </r>
  <r>
    <s v="TX501809"/>
    <x v="10"/>
    <x v="12"/>
    <n v="35.6"/>
    <n v="142.4"/>
    <d v="2025-03-08T00:00:00"/>
    <d v="2025-03-10T00:00:00"/>
    <x v="2"/>
    <x v="1"/>
    <x v="1"/>
    <x v="0"/>
    <x v="19"/>
    <x v="1"/>
    <x v="9"/>
    <x v="2"/>
  </r>
  <r>
    <s v="TX501810"/>
    <x v="2"/>
    <x v="2"/>
    <n v="95"/>
    <n v="285"/>
    <d v="2025-03-08T00:00:00"/>
    <d v="2025-03-12T00:00:00"/>
    <x v="2"/>
    <x v="2"/>
    <x v="2"/>
    <x v="0"/>
    <x v="56"/>
    <x v="5"/>
    <x v="9"/>
    <x v="2"/>
  </r>
  <r>
    <s v="TX501811"/>
    <x v="2"/>
    <x v="12"/>
    <n v="172.1"/>
    <n v="688.4"/>
    <d v="2025-03-08T00:00:00"/>
    <d v="2025-03-12T00:00:00"/>
    <x v="3"/>
    <x v="2"/>
    <x v="2"/>
    <x v="0"/>
    <x v="21"/>
    <x v="5"/>
    <x v="9"/>
    <x v="3"/>
  </r>
  <r>
    <s v="TX501812"/>
    <x v="2"/>
    <x v="1"/>
    <n v="233"/>
    <n v="466"/>
    <d v="2025-03-08T00:00:00"/>
    <d v="2025-03-11T00:00:00"/>
    <x v="2"/>
    <x v="1"/>
    <x v="0"/>
    <x v="0"/>
    <x v="21"/>
    <x v="2"/>
    <x v="9"/>
    <x v="2"/>
  </r>
  <r>
    <s v="TX501813"/>
    <x v="0"/>
    <x v="0"/>
    <n v="43.5"/>
    <n v="43.5"/>
    <d v="2025-03-08T00:00:00"/>
    <d v="2025-03-09T00:00:00"/>
    <x v="2"/>
    <x v="2"/>
    <x v="2"/>
    <x v="0"/>
    <x v="21"/>
    <x v="3"/>
    <x v="9"/>
    <x v="2"/>
  </r>
  <r>
    <s v="TX501814"/>
    <x v="9"/>
    <x v="1"/>
    <n v="47.8"/>
    <n v="95.6"/>
    <d v="2025-03-08T00:00:00"/>
    <d v="2025-03-11T00:00:00"/>
    <x v="1"/>
    <x v="4"/>
    <x v="2"/>
    <x v="0"/>
    <x v="1"/>
    <x v="2"/>
    <x v="9"/>
    <x v="1"/>
  </r>
  <r>
    <s v="TX501815"/>
    <x v="12"/>
    <x v="1"/>
    <n v="65.8"/>
    <n v="131.6"/>
    <d v="2025-03-08T00:00:00"/>
    <d v="2025-03-10T00:00:00"/>
    <x v="2"/>
    <x v="0"/>
    <x v="3"/>
    <x v="0"/>
    <x v="33"/>
    <x v="1"/>
    <x v="9"/>
    <x v="2"/>
  </r>
  <r>
    <s v="TX501816"/>
    <x v="15"/>
    <x v="5"/>
    <n v="38.700000000000003"/>
    <n v="425.70000000000005"/>
    <d v="2025-03-08T00:00:00"/>
    <d v="2025-03-08T00:00:00"/>
    <x v="1"/>
    <x v="0"/>
    <x v="0"/>
    <x v="0"/>
    <x v="22"/>
    <x v="7"/>
    <x v="9"/>
    <x v="1"/>
  </r>
  <r>
    <s v="TX501817"/>
    <x v="3"/>
    <x v="12"/>
    <n v="55.7"/>
    <n v="222.8"/>
    <d v="2025-03-08T00:00:00"/>
    <d v="2025-03-10T00:00:00"/>
    <x v="3"/>
    <x v="0"/>
    <x v="1"/>
    <x v="0"/>
    <x v="22"/>
    <x v="1"/>
    <x v="9"/>
    <x v="3"/>
  </r>
  <r>
    <s v="TX501818"/>
    <x v="7"/>
    <x v="1"/>
    <n v="102.4"/>
    <n v="204.8"/>
    <d v="2025-03-08T00:00:00"/>
    <d v="2025-03-08T00:00:00"/>
    <x v="2"/>
    <x v="1"/>
    <x v="0"/>
    <x v="0"/>
    <x v="3"/>
    <x v="7"/>
    <x v="9"/>
    <x v="2"/>
  </r>
  <r>
    <s v="TX501819"/>
    <x v="1"/>
    <x v="0"/>
    <n v="92"/>
    <n v="92"/>
    <d v="2025-03-08T00:00:00"/>
    <d v="2025-03-12T00:00:00"/>
    <x v="0"/>
    <x v="2"/>
    <x v="0"/>
    <x v="0"/>
    <x v="3"/>
    <x v="5"/>
    <x v="9"/>
    <x v="0"/>
  </r>
  <r>
    <s v="TX501820"/>
    <x v="6"/>
    <x v="12"/>
    <n v="75.900000000000006"/>
    <n v="303.60000000000002"/>
    <d v="2025-03-08T00:00:00"/>
    <d v="2025-03-10T00:00:00"/>
    <x v="2"/>
    <x v="1"/>
    <x v="0"/>
    <x v="0"/>
    <x v="3"/>
    <x v="1"/>
    <x v="9"/>
    <x v="2"/>
  </r>
  <r>
    <s v="TX501821"/>
    <x v="1"/>
    <x v="12"/>
    <n v="36.200000000000003"/>
    <n v="144.80000000000001"/>
    <d v="2025-03-08T00:00:00"/>
    <d v="2025-03-09T00:00:00"/>
    <x v="2"/>
    <x v="1"/>
    <x v="0"/>
    <x v="0"/>
    <x v="3"/>
    <x v="3"/>
    <x v="9"/>
    <x v="2"/>
  </r>
  <r>
    <s v="TX501822"/>
    <x v="6"/>
    <x v="45"/>
    <n v="83.5"/>
    <n v="7264.5"/>
    <d v="2025-03-08T00:00:00"/>
    <d v="2025-03-10T00:00:00"/>
    <x v="0"/>
    <x v="3"/>
    <x v="0"/>
    <x v="0"/>
    <x v="3"/>
    <x v="1"/>
    <x v="9"/>
    <x v="0"/>
  </r>
  <r>
    <s v="TX501823"/>
    <x v="19"/>
    <x v="4"/>
    <n v="52.4"/>
    <n v="628.79999999999995"/>
    <d v="2025-03-08T00:00:00"/>
    <d v="2025-03-08T00:00:00"/>
    <x v="1"/>
    <x v="2"/>
    <x v="0"/>
    <x v="0"/>
    <x v="3"/>
    <x v="7"/>
    <x v="9"/>
    <x v="1"/>
  </r>
  <r>
    <s v="TX501824"/>
    <x v="12"/>
    <x v="2"/>
    <n v="69.5"/>
    <n v="208.5"/>
    <d v="2025-03-08T00:00:00"/>
    <d v="2025-03-09T00:00:00"/>
    <x v="3"/>
    <x v="4"/>
    <x v="0"/>
    <x v="0"/>
    <x v="3"/>
    <x v="3"/>
    <x v="9"/>
    <x v="3"/>
  </r>
  <r>
    <s v="TX501825"/>
    <x v="0"/>
    <x v="0"/>
    <n v="15.5"/>
    <n v="15.5"/>
    <d v="2025-03-08T00:00:00"/>
    <d v="2025-03-10T00:00:00"/>
    <x v="1"/>
    <x v="0"/>
    <x v="0"/>
    <x v="0"/>
    <x v="3"/>
    <x v="1"/>
    <x v="9"/>
    <x v="1"/>
  </r>
  <r>
    <s v="TX501826"/>
    <x v="4"/>
    <x v="12"/>
    <n v="35.200000000000003"/>
    <n v="140.80000000000001"/>
    <d v="2025-03-08T00:00:00"/>
    <d v="2025-03-09T00:00:00"/>
    <x v="2"/>
    <x v="2"/>
    <x v="2"/>
    <x v="0"/>
    <x v="3"/>
    <x v="3"/>
    <x v="9"/>
    <x v="2"/>
  </r>
  <r>
    <s v="TX501827"/>
    <x v="8"/>
    <x v="13"/>
    <n v="34.6"/>
    <n v="207.60000000000002"/>
    <d v="2025-03-08T00:00:00"/>
    <d v="2025-03-09T00:00:00"/>
    <x v="0"/>
    <x v="0"/>
    <x v="1"/>
    <x v="0"/>
    <x v="3"/>
    <x v="3"/>
    <x v="9"/>
    <x v="0"/>
  </r>
  <r>
    <s v="TX501828"/>
    <x v="4"/>
    <x v="0"/>
    <n v="21.3"/>
    <n v="21.3"/>
    <d v="2025-03-09T00:00:00"/>
    <d v="2025-03-10T00:00:00"/>
    <x v="1"/>
    <x v="2"/>
    <x v="1"/>
    <x v="0"/>
    <x v="3"/>
    <x v="3"/>
    <x v="10"/>
    <x v="1"/>
  </r>
  <r>
    <s v="TX501829"/>
    <x v="6"/>
    <x v="1"/>
    <n v="136.5"/>
    <n v="273"/>
    <d v="2025-03-09T00:00:00"/>
    <d v="2025-03-15T00:00:00"/>
    <x v="2"/>
    <x v="0"/>
    <x v="0"/>
    <x v="0"/>
    <x v="37"/>
    <x v="4"/>
    <x v="10"/>
    <x v="2"/>
  </r>
  <r>
    <s v="TX501830"/>
    <x v="9"/>
    <x v="3"/>
    <n v="30.7"/>
    <n v="214.9"/>
    <d v="2025-03-09T00:00:00"/>
    <d v="2025-03-10T00:00:00"/>
    <x v="1"/>
    <x v="2"/>
    <x v="2"/>
    <x v="0"/>
    <x v="25"/>
    <x v="3"/>
    <x v="10"/>
    <x v="1"/>
  </r>
  <r>
    <s v="TX501831"/>
    <x v="1"/>
    <x v="1"/>
    <n v="61.6"/>
    <n v="123.2"/>
    <d v="2025-03-09T00:00:00"/>
    <d v="2025-03-10T00:00:00"/>
    <x v="2"/>
    <x v="2"/>
    <x v="2"/>
    <x v="0"/>
    <x v="23"/>
    <x v="3"/>
    <x v="10"/>
    <x v="2"/>
  </r>
  <r>
    <s v="TX501832"/>
    <x v="6"/>
    <x v="12"/>
    <n v="54.3"/>
    <n v="217.2"/>
    <d v="2025-03-09T00:00:00"/>
    <d v="2025-03-11T00:00:00"/>
    <x v="0"/>
    <x v="4"/>
    <x v="0"/>
    <x v="0"/>
    <x v="7"/>
    <x v="1"/>
    <x v="10"/>
    <x v="0"/>
  </r>
  <r>
    <s v="TX501833"/>
    <x v="1"/>
    <x v="1"/>
    <n v="44.1"/>
    <n v="88.2"/>
    <d v="2025-03-09T00:00:00"/>
    <d v="2025-03-21T00:00:00"/>
    <x v="2"/>
    <x v="0"/>
    <x v="2"/>
    <x v="0"/>
    <x v="8"/>
    <x v="13"/>
    <x v="10"/>
    <x v="2"/>
  </r>
  <r>
    <s v="TX501834"/>
    <x v="8"/>
    <x v="12"/>
    <n v="43.5"/>
    <n v="174"/>
    <d v="2025-03-09T00:00:00"/>
    <d v="2025-03-15T00:00:00"/>
    <x v="1"/>
    <x v="3"/>
    <x v="0"/>
    <x v="0"/>
    <x v="8"/>
    <x v="4"/>
    <x v="10"/>
    <x v="1"/>
  </r>
  <r>
    <s v="TX501835"/>
    <x v="8"/>
    <x v="2"/>
    <n v="48.2"/>
    <n v="144.60000000000002"/>
    <d v="2025-03-09T00:00:00"/>
    <d v="2025-03-13T00:00:00"/>
    <x v="1"/>
    <x v="3"/>
    <x v="1"/>
    <x v="0"/>
    <x v="8"/>
    <x v="5"/>
    <x v="10"/>
    <x v="1"/>
  </r>
  <r>
    <s v="TX501836"/>
    <x v="19"/>
    <x v="0"/>
    <n v="13.7"/>
    <n v="13.7"/>
    <d v="2025-03-09T00:00:00"/>
    <d v="2025-03-10T00:00:00"/>
    <x v="2"/>
    <x v="2"/>
    <x v="2"/>
    <x v="0"/>
    <x v="8"/>
    <x v="3"/>
    <x v="10"/>
    <x v="2"/>
  </r>
  <r>
    <s v="TX501837"/>
    <x v="2"/>
    <x v="1"/>
    <n v="110.5"/>
    <n v="221"/>
    <d v="2025-03-09T00:00:00"/>
    <d v="2025-03-10T00:00:00"/>
    <x v="2"/>
    <x v="0"/>
    <x v="1"/>
    <x v="0"/>
    <x v="8"/>
    <x v="3"/>
    <x v="10"/>
    <x v="2"/>
  </r>
  <r>
    <s v="TX501838"/>
    <x v="8"/>
    <x v="2"/>
    <n v="26"/>
    <n v="78"/>
    <d v="2025-03-09T00:00:00"/>
    <d v="2025-03-14T00:00:00"/>
    <x v="2"/>
    <x v="1"/>
    <x v="1"/>
    <x v="0"/>
    <x v="8"/>
    <x v="0"/>
    <x v="10"/>
    <x v="2"/>
  </r>
  <r>
    <s v="TX501839"/>
    <x v="2"/>
    <x v="7"/>
    <n v="140.69999999999999"/>
    <n v="1407"/>
    <d v="2025-03-09T00:00:00"/>
    <d v="2025-03-15T00:00:00"/>
    <x v="1"/>
    <x v="3"/>
    <x v="1"/>
    <x v="0"/>
    <x v="8"/>
    <x v="4"/>
    <x v="10"/>
    <x v="1"/>
  </r>
  <r>
    <s v="TX501840"/>
    <x v="17"/>
    <x v="1"/>
    <n v="41.7"/>
    <n v="83.4"/>
    <d v="2025-03-09T00:00:00"/>
    <d v="2025-03-17T00:00:00"/>
    <x v="2"/>
    <x v="0"/>
    <x v="4"/>
    <x v="0"/>
    <x v="8"/>
    <x v="9"/>
    <x v="10"/>
    <x v="2"/>
  </r>
  <r>
    <s v="TX501841"/>
    <x v="2"/>
    <x v="1"/>
    <n v="135.1"/>
    <n v="270.2"/>
    <d v="2025-03-09T00:00:00"/>
    <d v="2025-03-10T00:00:00"/>
    <x v="1"/>
    <x v="0"/>
    <x v="2"/>
    <x v="0"/>
    <x v="17"/>
    <x v="3"/>
    <x v="10"/>
    <x v="1"/>
  </r>
  <r>
    <s v="TX501842"/>
    <x v="12"/>
    <x v="32"/>
    <n v="95.5"/>
    <n v="2101"/>
    <d v="2025-03-09T00:00:00"/>
    <d v="2025-03-10T00:00:00"/>
    <x v="2"/>
    <x v="4"/>
    <x v="4"/>
    <x v="0"/>
    <x v="26"/>
    <x v="3"/>
    <x v="10"/>
    <x v="2"/>
  </r>
  <r>
    <s v="TX501843"/>
    <x v="15"/>
    <x v="0"/>
    <n v="25.5"/>
    <n v="25.5"/>
    <d v="2025-03-09T00:00:00"/>
    <d v="2025-03-12T00:00:00"/>
    <x v="0"/>
    <x v="2"/>
    <x v="2"/>
    <x v="0"/>
    <x v="11"/>
    <x v="2"/>
    <x v="10"/>
    <x v="0"/>
  </r>
  <r>
    <s v="TX501844"/>
    <x v="1"/>
    <x v="0"/>
    <n v="42.6"/>
    <n v="42.6"/>
    <d v="2025-03-09T00:00:00"/>
    <d v="2025-03-13T00:00:00"/>
    <x v="2"/>
    <x v="0"/>
    <x v="0"/>
    <x v="0"/>
    <x v="11"/>
    <x v="5"/>
    <x v="10"/>
    <x v="2"/>
  </r>
  <r>
    <s v="TX501845"/>
    <x v="8"/>
    <x v="20"/>
    <n v="32.4"/>
    <n v="486"/>
    <d v="2025-03-09T00:00:00"/>
    <d v="2025-03-10T00:00:00"/>
    <x v="1"/>
    <x v="1"/>
    <x v="1"/>
    <x v="0"/>
    <x v="11"/>
    <x v="3"/>
    <x v="10"/>
    <x v="1"/>
  </r>
  <r>
    <s v="TX501846"/>
    <x v="4"/>
    <x v="12"/>
    <n v="20.2"/>
    <n v="80.8"/>
    <d v="2025-03-09T00:00:00"/>
    <d v="2025-03-10T00:00:00"/>
    <x v="3"/>
    <x v="2"/>
    <x v="0"/>
    <x v="0"/>
    <x v="11"/>
    <x v="3"/>
    <x v="10"/>
    <x v="3"/>
  </r>
  <r>
    <s v="TX501847"/>
    <x v="16"/>
    <x v="2"/>
    <n v="52.5"/>
    <n v="157.5"/>
    <d v="2025-03-09T00:00:00"/>
    <d v="2025-03-14T00:00:00"/>
    <x v="2"/>
    <x v="4"/>
    <x v="0"/>
    <x v="0"/>
    <x v="18"/>
    <x v="0"/>
    <x v="10"/>
    <x v="2"/>
  </r>
  <r>
    <s v="TX501848"/>
    <x v="2"/>
    <x v="9"/>
    <n v="59.9"/>
    <n v="299.5"/>
    <d v="2025-03-09T00:00:00"/>
    <d v="2025-03-11T00:00:00"/>
    <x v="2"/>
    <x v="2"/>
    <x v="0"/>
    <x v="0"/>
    <x v="19"/>
    <x v="1"/>
    <x v="10"/>
    <x v="2"/>
  </r>
  <r>
    <s v="TX501849"/>
    <x v="4"/>
    <x v="1"/>
    <n v="53.2"/>
    <n v="106.4"/>
    <d v="2025-03-09T00:00:00"/>
    <d v="2025-03-10T00:00:00"/>
    <x v="2"/>
    <x v="1"/>
    <x v="3"/>
    <x v="0"/>
    <x v="20"/>
    <x v="3"/>
    <x v="10"/>
    <x v="2"/>
  </r>
  <r>
    <s v="TX501850"/>
    <x v="2"/>
    <x v="1"/>
    <n v="60"/>
    <n v="120"/>
    <d v="2025-03-09T00:00:00"/>
    <d v="2025-03-15T00:00:00"/>
    <x v="1"/>
    <x v="1"/>
    <x v="2"/>
    <x v="0"/>
    <x v="20"/>
    <x v="4"/>
    <x v="10"/>
    <x v="1"/>
  </r>
  <r>
    <s v="TX501851"/>
    <x v="8"/>
    <x v="2"/>
    <n v="29.3"/>
    <n v="87.9"/>
    <d v="2025-03-09T00:00:00"/>
    <d v="2025-03-10T00:00:00"/>
    <x v="2"/>
    <x v="4"/>
    <x v="0"/>
    <x v="0"/>
    <x v="13"/>
    <x v="3"/>
    <x v="10"/>
    <x v="2"/>
  </r>
  <r>
    <s v="TX501852"/>
    <x v="12"/>
    <x v="1"/>
    <n v="55.4"/>
    <n v="110.8"/>
    <d v="2025-03-09T00:00:00"/>
    <d v="2025-03-10T00:00:00"/>
    <x v="2"/>
    <x v="0"/>
    <x v="2"/>
    <x v="0"/>
    <x v="21"/>
    <x v="3"/>
    <x v="10"/>
    <x v="2"/>
  </r>
  <r>
    <s v="TX501853"/>
    <x v="0"/>
    <x v="9"/>
    <n v="20.100000000000001"/>
    <n v="100.5"/>
    <d v="2025-03-09T00:00:00"/>
    <d v="2025-03-11T00:00:00"/>
    <x v="2"/>
    <x v="1"/>
    <x v="2"/>
    <x v="0"/>
    <x v="21"/>
    <x v="1"/>
    <x v="10"/>
    <x v="2"/>
  </r>
  <r>
    <s v="TX501854"/>
    <x v="14"/>
    <x v="9"/>
    <n v="24"/>
    <n v="120"/>
    <d v="2025-03-09T00:00:00"/>
    <d v="2025-03-12T00:00:00"/>
    <x v="1"/>
    <x v="2"/>
    <x v="0"/>
    <x v="0"/>
    <x v="1"/>
    <x v="2"/>
    <x v="10"/>
    <x v="1"/>
  </r>
  <r>
    <s v="TX501855"/>
    <x v="8"/>
    <x v="1"/>
    <n v="30.6"/>
    <n v="61.2"/>
    <d v="2025-03-10T00:00:00"/>
    <d v="2025-03-12T00:00:00"/>
    <x v="2"/>
    <x v="0"/>
    <x v="0"/>
    <x v="0"/>
    <x v="1"/>
    <x v="1"/>
    <x v="10"/>
    <x v="2"/>
  </r>
  <r>
    <s v="TX501856"/>
    <x v="10"/>
    <x v="9"/>
    <n v="33"/>
    <n v="165"/>
    <d v="2025-03-10T00:00:00"/>
    <d v="2025-03-11T00:00:00"/>
    <x v="1"/>
    <x v="1"/>
    <x v="1"/>
    <x v="0"/>
    <x v="27"/>
    <x v="3"/>
    <x v="10"/>
    <x v="1"/>
  </r>
  <r>
    <s v="TX501857"/>
    <x v="17"/>
    <x v="11"/>
    <n v="42.1"/>
    <n v="378.90000000000003"/>
    <d v="2025-03-10T00:00:00"/>
    <d v="2025-03-16T00:00:00"/>
    <x v="2"/>
    <x v="2"/>
    <x v="0"/>
    <x v="0"/>
    <x v="44"/>
    <x v="4"/>
    <x v="10"/>
    <x v="2"/>
  </r>
  <r>
    <s v="TX501858"/>
    <x v="6"/>
    <x v="3"/>
    <n v="77.7"/>
    <n v="543.9"/>
    <d v="2025-03-10T00:00:00"/>
    <d v="2025-03-15T00:00:00"/>
    <x v="2"/>
    <x v="1"/>
    <x v="2"/>
    <x v="0"/>
    <x v="50"/>
    <x v="0"/>
    <x v="10"/>
    <x v="2"/>
  </r>
  <r>
    <s v="TX501859"/>
    <x v="17"/>
    <x v="13"/>
    <n v="22.7"/>
    <n v="136.19999999999999"/>
    <d v="2025-03-10T00:00:00"/>
    <d v="2025-03-13T00:00:00"/>
    <x v="2"/>
    <x v="2"/>
    <x v="0"/>
    <x v="0"/>
    <x v="3"/>
    <x v="2"/>
    <x v="10"/>
    <x v="2"/>
  </r>
  <r>
    <s v="TX501860"/>
    <x v="2"/>
    <x v="1"/>
    <n v="133"/>
    <n v="266"/>
    <d v="2025-03-10T00:00:00"/>
    <d v="2025-03-10T00:00:00"/>
    <x v="1"/>
    <x v="2"/>
    <x v="2"/>
    <x v="0"/>
    <x v="3"/>
    <x v="7"/>
    <x v="10"/>
    <x v="1"/>
  </r>
  <r>
    <s v="TX501861"/>
    <x v="0"/>
    <x v="1"/>
    <n v="23.3"/>
    <n v="46.6"/>
    <d v="2025-03-10T00:00:00"/>
    <d v="2025-03-11T00:00:00"/>
    <x v="1"/>
    <x v="1"/>
    <x v="2"/>
    <x v="0"/>
    <x v="3"/>
    <x v="3"/>
    <x v="10"/>
    <x v="1"/>
  </r>
  <r>
    <s v="TX501862"/>
    <x v="8"/>
    <x v="2"/>
    <n v="20.7"/>
    <n v="62.099999999999994"/>
    <d v="2025-03-10T00:00:00"/>
    <d v="2025-03-12T00:00:00"/>
    <x v="3"/>
    <x v="0"/>
    <x v="2"/>
    <x v="0"/>
    <x v="3"/>
    <x v="1"/>
    <x v="10"/>
    <x v="3"/>
  </r>
  <r>
    <s v="TX501863"/>
    <x v="12"/>
    <x v="1"/>
    <n v="47"/>
    <n v="94"/>
    <d v="2025-03-10T00:00:00"/>
    <d v="2025-03-11T00:00:00"/>
    <x v="1"/>
    <x v="1"/>
    <x v="2"/>
    <x v="0"/>
    <x v="3"/>
    <x v="3"/>
    <x v="10"/>
    <x v="1"/>
  </r>
  <r>
    <s v="TX501864"/>
    <x v="12"/>
    <x v="2"/>
    <n v="38.200000000000003"/>
    <n v="114.60000000000001"/>
    <d v="2025-03-10T00:00:00"/>
    <d v="2025-03-12T00:00:00"/>
    <x v="2"/>
    <x v="2"/>
    <x v="4"/>
    <x v="0"/>
    <x v="3"/>
    <x v="1"/>
    <x v="10"/>
    <x v="2"/>
  </r>
  <r>
    <s v="TX501865"/>
    <x v="9"/>
    <x v="0"/>
    <n v="39.1"/>
    <n v="39.1"/>
    <d v="2025-03-10T00:00:00"/>
    <d v="2025-03-12T00:00:00"/>
    <x v="2"/>
    <x v="0"/>
    <x v="0"/>
    <x v="0"/>
    <x v="3"/>
    <x v="1"/>
    <x v="10"/>
    <x v="2"/>
  </r>
  <r>
    <s v="TX501866"/>
    <x v="7"/>
    <x v="30"/>
    <n v="55.6"/>
    <n v="1390"/>
    <d v="2025-03-10T00:00:00"/>
    <d v="2025-03-12T00:00:00"/>
    <x v="1"/>
    <x v="0"/>
    <x v="2"/>
    <x v="0"/>
    <x v="3"/>
    <x v="1"/>
    <x v="10"/>
    <x v="1"/>
  </r>
  <r>
    <s v="TX501867"/>
    <x v="15"/>
    <x v="0"/>
    <n v="43.1"/>
    <n v="43.1"/>
    <d v="2025-03-10T00:00:00"/>
    <d v="2025-03-10T00:00:00"/>
    <x v="3"/>
    <x v="1"/>
    <x v="2"/>
    <x v="0"/>
    <x v="3"/>
    <x v="7"/>
    <x v="10"/>
    <x v="3"/>
  </r>
  <r>
    <s v="TX501868"/>
    <x v="6"/>
    <x v="12"/>
    <n v="48.1"/>
    <n v="192.4"/>
    <d v="2025-03-10T00:00:00"/>
    <d v="2025-03-11T00:00:00"/>
    <x v="2"/>
    <x v="4"/>
    <x v="2"/>
    <x v="0"/>
    <x v="3"/>
    <x v="3"/>
    <x v="10"/>
    <x v="2"/>
  </r>
  <r>
    <s v="TX501869"/>
    <x v="4"/>
    <x v="0"/>
    <n v="42"/>
    <n v="42"/>
    <d v="2025-03-10T00:00:00"/>
    <d v="2025-03-11T00:00:00"/>
    <x v="3"/>
    <x v="0"/>
    <x v="0"/>
    <x v="0"/>
    <x v="3"/>
    <x v="3"/>
    <x v="10"/>
    <x v="3"/>
  </r>
  <r>
    <s v="TX501870"/>
    <x v="8"/>
    <x v="9"/>
    <n v="18.3"/>
    <n v="91.5"/>
    <d v="2025-03-10T00:00:00"/>
    <d v="2025-03-10T00:00:00"/>
    <x v="2"/>
    <x v="2"/>
    <x v="0"/>
    <x v="0"/>
    <x v="3"/>
    <x v="7"/>
    <x v="10"/>
    <x v="2"/>
  </r>
  <r>
    <s v="TX501871"/>
    <x v="10"/>
    <x v="12"/>
    <n v="45.3"/>
    <n v="181.2"/>
    <d v="2025-03-10T00:00:00"/>
    <d v="2025-03-13T00:00:00"/>
    <x v="2"/>
    <x v="0"/>
    <x v="2"/>
    <x v="0"/>
    <x v="3"/>
    <x v="2"/>
    <x v="10"/>
    <x v="2"/>
  </r>
  <r>
    <s v="TX501872"/>
    <x v="0"/>
    <x v="1"/>
    <n v="27.6"/>
    <n v="55.2"/>
    <d v="2025-03-10T00:00:00"/>
    <d v="2025-03-12T00:00:00"/>
    <x v="1"/>
    <x v="0"/>
    <x v="2"/>
    <x v="0"/>
    <x v="37"/>
    <x v="1"/>
    <x v="10"/>
    <x v="1"/>
  </r>
  <r>
    <s v="TX501873"/>
    <x v="4"/>
    <x v="9"/>
    <n v="26.9"/>
    <n v="134.5"/>
    <d v="2025-03-10T00:00:00"/>
    <d v="2025-03-11T00:00:00"/>
    <x v="2"/>
    <x v="2"/>
    <x v="0"/>
    <x v="0"/>
    <x v="25"/>
    <x v="3"/>
    <x v="10"/>
    <x v="2"/>
  </r>
  <r>
    <s v="TX501874"/>
    <x v="2"/>
    <x v="11"/>
    <n v="82.4"/>
    <n v="741.6"/>
    <d v="2025-03-10T00:00:00"/>
    <d v="2025-03-12T00:00:00"/>
    <x v="3"/>
    <x v="2"/>
    <x v="0"/>
    <x v="0"/>
    <x v="5"/>
    <x v="1"/>
    <x v="10"/>
    <x v="3"/>
  </r>
  <r>
    <s v="TX501875"/>
    <x v="6"/>
    <x v="0"/>
    <n v="103.7"/>
    <n v="103.7"/>
    <d v="2025-03-10T00:00:00"/>
    <d v="2025-03-12T00:00:00"/>
    <x v="2"/>
    <x v="1"/>
    <x v="0"/>
    <x v="0"/>
    <x v="5"/>
    <x v="1"/>
    <x v="10"/>
    <x v="2"/>
  </r>
  <r>
    <s v="TX501876"/>
    <x v="2"/>
    <x v="1"/>
    <n v="58.8"/>
    <n v="117.6"/>
    <d v="2025-03-10T00:00:00"/>
    <d v="2025-03-15T00:00:00"/>
    <x v="2"/>
    <x v="1"/>
    <x v="2"/>
    <x v="0"/>
    <x v="6"/>
    <x v="0"/>
    <x v="10"/>
    <x v="2"/>
  </r>
  <r>
    <s v="TX501877"/>
    <x v="13"/>
    <x v="0"/>
    <n v="31.5"/>
    <n v="31.5"/>
    <d v="2025-03-10T00:00:00"/>
    <d v="2025-03-11T00:00:00"/>
    <x v="2"/>
    <x v="1"/>
    <x v="1"/>
    <x v="0"/>
    <x v="6"/>
    <x v="3"/>
    <x v="10"/>
    <x v="2"/>
  </r>
  <r>
    <s v="TX501878"/>
    <x v="7"/>
    <x v="9"/>
    <n v="36.799999999999997"/>
    <n v="184"/>
    <d v="2025-03-10T00:00:00"/>
    <d v="2025-03-12T00:00:00"/>
    <x v="2"/>
    <x v="0"/>
    <x v="0"/>
    <x v="0"/>
    <x v="8"/>
    <x v="1"/>
    <x v="10"/>
    <x v="2"/>
  </r>
  <r>
    <s v="TX501879"/>
    <x v="3"/>
    <x v="0"/>
    <n v="84.4"/>
    <n v="84.4"/>
    <d v="2025-03-10T00:00:00"/>
    <d v="2025-03-11T00:00:00"/>
    <x v="2"/>
    <x v="0"/>
    <x v="0"/>
    <x v="0"/>
    <x v="8"/>
    <x v="3"/>
    <x v="10"/>
    <x v="2"/>
  </r>
  <r>
    <s v="TX501880"/>
    <x v="14"/>
    <x v="0"/>
    <n v="44.7"/>
    <n v="44.7"/>
    <d v="2025-03-10T00:00:00"/>
    <d v="2025-03-11T00:00:00"/>
    <x v="1"/>
    <x v="0"/>
    <x v="1"/>
    <x v="0"/>
    <x v="8"/>
    <x v="3"/>
    <x v="10"/>
    <x v="1"/>
  </r>
  <r>
    <s v="TX501881"/>
    <x v="9"/>
    <x v="8"/>
    <n v="39.4"/>
    <n v="315.2"/>
    <d v="2025-03-10T00:00:00"/>
    <d v="2025-03-11T00:00:00"/>
    <x v="2"/>
    <x v="1"/>
    <x v="2"/>
    <x v="0"/>
    <x v="8"/>
    <x v="3"/>
    <x v="10"/>
    <x v="2"/>
  </r>
  <r>
    <s v="TX501882"/>
    <x v="11"/>
    <x v="12"/>
    <n v="34.9"/>
    <n v="139.6"/>
    <d v="2025-03-10T00:00:00"/>
    <d v="2025-03-12T00:00:00"/>
    <x v="2"/>
    <x v="0"/>
    <x v="2"/>
    <x v="0"/>
    <x v="8"/>
    <x v="1"/>
    <x v="10"/>
    <x v="2"/>
  </r>
  <r>
    <s v="TX501883"/>
    <x v="1"/>
    <x v="2"/>
    <n v="62.3"/>
    <n v="186.89999999999998"/>
    <d v="2025-03-10T00:00:00"/>
    <d v="2025-03-12T00:00:00"/>
    <x v="1"/>
    <x v="4"/>
    <x v="2"/>
    <x v="0"/>
    <x v="8"/>
    <x v="1"/>
    <x v="10"/>
    <x v="1"/>
  </r>
  <r>
    <s v="TX501884"/>
    <x v="8"/>
    <x v="12"/>
    <n v="21.1"/>
    <n v="84.4"/>
    <d v="2025-03-10T00:00:00"/>
    <d v="2025-03-13T00:00:00"/>
    <x v="1"/>
    <x v="3"/>
    <x v="0"/>
    <x v="0"/>
    <x v="8"/>
    <x v="2"/>
    <x v="10"/>
    <x v="1"/>
  </r>
  <r>
    <s v="TX501885"/>
    <x v="8"/>
    <x v="2"/>
    <n v="33.200000000000003"/>
    <n v="99.600000000000009"/>
    <d v="2025-03-10T00:00:00"/>
    <d v="2025-03-24T00:00:00"/>
    <x v="0"/>
    <x v="0"/>
    <x v="4"/>
    <x v="0"/>
    <x v="8"/>
    <x v="12"/>
    <x v="10"/>
    <x v="0"/>
  </r>
  <r>
    <s v="TX501886"/>
    <x v="1"/>
    <x v="12"/>
    <n v="74.5"/>
    <n v="298"/>
    <d v="2025-03-10T00:00:00"/>
    <d v="2025-03-11T00:00:00"/>
    <x v="1"/>
    <x v="4"/>
    <x v="0"/>
    <x v="0"/>
    <x v="8"/>
    <x v="3"/>
    <x v="10"/>
    <x v="1"/>
  </r>
  <r>
    <s v="TX501887"/>
    <x v="10"/>
    <x v="4"/>
    <n v="68.599999999999994"/>
    <n v="823.19999999999993"/>
    <d v="2025-03-10T00:00:00"/>
    <d v="2025-03-13T00:00:00"/>
    <x v="2"/>
    <x v="0"/>
    <x v="2"/>
    <x v="0"/>
    <x v="8"/>
    <x v="2"/>
    <x v="10"/>
    <x v="2"/>
  </r>
  <r>
    <s v="TX501888"/>
    <x v="5"/>
    <x v="21"/>
    <n v="36.4"/>
    <n v="509.59999999999997"/>
    <d v="2025-03-10T00:00:00"/>
    <d v="2025-03-12T00:00:00"/>
    <x v="2"/>
    <x v="0"/>
    <x v="1"/>
    <x v="0"/>
    <x v="9"/>
    <x v="1"/>
    <x v="10"/>
    <x v="2"/>
  </r>
  <r>
    <s v="TX501889"/>
    <x v="16"/>
    <x v="9"/>
    <n v="67.599999999999994"/>
    <n v="338"/>
    <d v="2025-03-11T00:00:00"/>
    <d v="2025-03-14T00:00:00"/>
    <x v="2"/>
    <x v="4"/>
    <x v="1"/>
    <x v="0"/>
    <x v="9"/>
    <x v="2"/>
    <x v="10"/>
    <x v="2"/>
  </r>
  <r>
    <s v="TX501890"/>
    <x v="15"/>
    <x v="0"/>
    <n v="46.3"/>
    <n v="46.3"/>
    <d v="2025-03-11T00:00:00"/>
    <d v="2025-03-12T00:00:00"/>
    <x v="1"/>
    <x v="2"/>
    <x v="0"/>
    <x v="0"/>
    <x v="9"/>
    <x v="3"/>
    <x v="10"/>
    <x v="1"/>
  </r>
  <r>
    <s v="TX501891"/>
    <x v="1"/>
    <x v="2"/>
    <n v="124.2"/>
    <n v="372.6"/>
    <d v="2025-03-11T00:00:00"/>
    <d v="2025-03-13T00:00:00"/>
    <x v="2"/>
    <x v="1"/>
    <x v="2"/>
    <x v="0"/>
    <x v="11"/>
    <x v="1"/>
    <x v="10"/>
    <x v="2"/>
  </r>
  <r>
    <s v="TX501892"/>
    <x v="10"/>
    <x v="1"/>
    <n v="37"/>
    <n v="74"/>
    <d v="2025-03-11T00:00:00"/>
    <d v="2025-03-17T00:00:00"/>
    <x v="1"/>
    <x v="0"/>
    <x v="0"/>
    <x v="0"/>
    <x v="11"/>
    <x v="4"/>
    <x v="10"/>
    <x v="1"/>
  </r>
  <r>
    <s v="TX501893"/>
    <x v="5"/>
    <x v="0"/>
    <n v="41.8"/>
    <n v="41.8"/>
    <d v="2025-03-11T00:00:00"/>
    <d v="2025-03-12T00:00:00"/>
    <x v="1"/>
    <x v="2"/>
    <x v="0"/>
    <x v="0"/>
    <x v="31"/>
    <x v="3"/>
    <x v="10"/>
    <x v="1"/>
  </r>
  <r>
    <s v="TX501894"/>
    <x v="9"/>
    <x v="1"/>
    <n v="57.2"/>
    <n v="114.4"/>
    <d v="2025-03-11T00:00:00"/>
    <d v="2025-03-13T00:00:00"/>
    <x v="1"/>
    <x v="2"/>
    <x v="1"/>
    <x v="0"/>
    <x v="20"/>
    <x v="1"/>
    <x v="10"/>
    <x v="1"/>
  </r>
  <r>
    <s v="TX501895"/>
    <x v="6"/>
    <x v="1"/>
    <n v="47.1"/>
    <n v="94.2"/>
    <d v="2025-03-11T00:00:00"/>
    <d v="2025-03-13T00:00:00"/>
    <x v="2"/>
    <x v="0"/>
    <x v="4"/>
    <x v="0"/>
    <x v="20"/>
    <x v="1"/>
    <x v="10"/>
    <x v="2"/>
  </r>
  <r>
    <s v="TX501896"/>
    <x v="5"/>
    <x v="2"/>
    <n v="86.4"/>
    <n v="259.20000000000005"/>
    <d v="2025-03-11T00:00:00"/>
    <d v="2025-03-12T00:00:00"/>
    <x v="1"/>
    <x v="2"/>
    <x v="1"/>
    <x v="0"/>
    <x v="52"/>
    <x v="3"/>
    <x v="10"/>
    <x v="1"/>
  </r>
  <r>
    <s v="TX501897"/>
    <x v="6"/>
    <x v="9"/>
    <n v="105"/>
    <n v="525"/>
    <d v="2025-03-11T00:00:00"/>
    <d v="2025-03-14T00:00:00"/>
    <x v="1"/>
    <x v="0"/>
    <x v="0"/>
    <x v="0"/>
    <x v="13"/>
    <x v="2"/>
    <x v="10"/>
    <x v="1"/>
  </r>
  <r>
    <s v="TX501898"/>
    <x v="18"/>
    <x v="0"/>
    <n v="33"/>
    <n v="33"/>
    <d v="2025-03-11T00:00:00"/>
    <d v="2025-03-14T00:00:00"/>
    <x v="1"/>
    <x v="4"/>
    <x v="0"/>
    <x v="0"/>
    <x v="21"/>
    <x v="2"/>
    <x v="10"/>
    <x v="1"/>
  </r>
  <r>
    <s v="TX501899"/>
    <x v="6"/>
    <x v="9"/>
    <n v="106.6"/>
    <n v="533"/>
    <d v="2025-03-11T00:00:00"/>
    <d v="2025-03-24T00:00:00"/>
    <x v="2"/>
    <x v="2"/>
    <x v="0"/>
    <x v="0"/>
    <x v="1"/>
    <x v="10"/>
    <x v="10"/>
    <x v="2"/>
  </r>
  <r>
    <s v="TX501900"/>
    <x v="10"/>
    <x v="46"/>
    <n v="26.8"/>
    <n v="857.6"/>
    <d v="2025-03-11T00:00:00"/>
    <d v="2025-03-12T00:00:00"/>
    <x v="2"/>
    <x v="2"/>
    <x v="0"/>
    <x v="0"/>
    <x v="1"/>
    <x v="3"/>
    <x v="10"/>
    <x v="2"/>
  </r>
  <r>
    <s v="TX501901"/>
    <x v="17"/>
    <x v="9"/>
    <n v="25.8"/>
    <n v="129"/>
    <d v="2025-03-11T00:00:00"/>
    <d v="2025-03-11T00:00:00"/>
    <x v="2"/>
    <x v="1"/>
    <x v="2"/>
    <x v="0"/>
    <x v="3"/>
    <x v="7"/>
    <x v="10"/>
    <x v="2"/>
  </r>
  <r>
    <s v="TX501902"/>
    <x v="2"/>
    <x v="2"/>
    <n v="217"/>
    <n v="651"/>
    <d v="2025-03-11T00:00:00"/>
    <d v="2025-03-12T00:00:00"/>
    <x v="2"/>
    <x v="1"/>
    <x v="1"/>
    <x v="0"/>
    <x v="3"/>
    <x v="3"/>
    <x v="10"/>
    <x v="2"/>
  </r>
  <r>
    <s v="TX501903"/>
    <x v="2"/>
    <x v="1"/>
    <n v="97.3"/>
    <n v="194.6"/>
    <d v="2025-03-11T00:00:00"/>
    <d v="2025-03-12T00:00:00"/>
    <x v="1"/>
    <x v="2"/>
    <x v="4"/>
    <x v="0"/>
    <x v="3"/>
    <x v="3"/>
    <x v="10"/>
    <x v="1"/>
  </r>
  <r>
    <s v="TX501904"/>
    <x v="1"/>
    <x v="0"/>
    <n v="49.8"/>
    <n v="49.8"/>
    <d v="2025-03-11T00:00:00"/>
    <d v="2025-03-12T00:00:00"/>
    <x v="2"/>
    <x v="0"/>
    <x v="0"/>
    <x v="0"/>
    <x v="3"/>
    <x v="3"/>
    <x v="10"/>
    <x v="2"/>
  </r>
  <r>
    <s v="TX501905"/>
    <x v="12"/>
    <x v="9"/>
    <n v="32.6"/>
    <n v="163"/>
    <d v="2025-03-11T00:00:00"/>
    <d v="2025-03-12T00:00:00"/>
    <x v="2"/>
    <x v="0"/>
    <x v="0"/>
    <x v="0"/>
    <x v="3"/>
    <x v="3"/>
    <x v="10"/>
    <x v="2"/>
  </r>
  <r>
    <s v="TX501906"/>
    <x v="9"/>
    <x v="1"/>
    <n v="40.1"/>
    <n v="80.2"/>
    <d v="2025-03-11T00:00:00"/>
    <d v="2025-03-14T00:00:00"/>
    <x v="1"/>
    <x v="1"/>
    <x v="2"/>
    <x v="0"/>
    <x v="3"/>
    <x v="2"/>
    <x v="10"/>
    <x v="1"/>
  </r>
  <r>
    <s v="TX501907"/>
    <x v="10"/>
    <x v="1"/>
    <n v="49.4"/>
    <n v="98.8"/>
    <d v="2025-03-11T00:00:00"/>
    <d v="2025-03-13T00:00:00"/>
    <x v="1"/>
    <x v="1"/>
    <x v="0"/>
    <x v="0"/>
    <x v="3"/>
    <x v="1"/>
    <x v="10"/>
    <x v="1"/>
  </r>
  <r>
    <s v="TX501908"/>
    <x v="2"/>
    <x v="0"/>
    <n v="67.3"/>
    <n v="67.3"/>
    <d v="2025-03-11T00:00:00"/>
    <d v="2025-03-12T00:00:00"/>
    <x v="2"/>
    <x v="0"/>
    <x v="2"/>
    <x v="0"/>
    <x v="3"/>
    <x v="3"/>
    <x v="10"/>
    <x v="2"/>
  </r>
  <r>
    <s v="TX501909"/>
    <x v="18"/>
    <x v="12"/>
    <n v="44.5"/>
    <n v="178"/>
    <d v="2025-03-11T00:00:00"/>
    <d v="2025-03-14T00:00:00"/>
    <x v="0"/>
    <x v="1"/>
    <x v="0"/>
    <x v="0"/>
    <x v="3"/>
    <x v="2"/>
    <x v="10"/>
    <x v="0"/>
  </r>
  <r>
    <s v="TX501910"/>
    <x v="6"/>
    <x v="5"/>
    <n v="111.1"/>
    <n v="1222.0999999999999"/>
    <d v="2025-03-11T00:00:00"/>
    <d v="2025-03-12T00:00:00"/>
    <x v="2"/>
    <x v="4"/>
    <x v="0"/>
    <x v="0"/>
    <x v="3"/>
    <x v="3"/>
    <x v="10"/>
    <x v="2"/>
  </r>
  <r>
    <s v="TX501911"/>
    <x v="8"/>
    <x v="2"/>
    <n v="19.7"/>
    <n v="59.099999999999994"/>
    <d v="2025-03-11T00:00:00"/>
    <d v="2025-03-12T00:00:00"/>
    <x v="2"/>
    <x v="4"/>
    <x v="4"/>
    <x v="0"/>
    <x v="3"/>
    <x v="3"/>
    <x v="10"/>
    <x v="2"/>
  </r>
  <r>
    <s v="TX501912"/>
    <x v="1"/>
    <x v="0"/>
    <n v="40.299999999999997"/>
    <n v="40.299999999999997"/>
    <d v="2025-03-11T00:00:00"/>
    <d v="2025-03-12T00:00:00"/>
    <x v="3"/>
    <x v="1"/>
    <x v="0"/>
    <x v="0"/>
    <x v="3"/>
    <x v="3"/>
    <x v="10"/>
    <x v="3"/>
  </r>
  <r>
    <s v="TX501913"/>
    <x v="6"/>
    <x v="1"/>
    <n v="108.8"/>
    <n v="217.6"/>
    <d v="2025-03-11T00:00:00"/>
    <d v="2025-03-16T00:00:00"/>
    <x v="1"/>
    <x v="0"/>
    <x v="2"/>
    <x v="0"/>
    <x v="6"/>
    <x v="0"/>
    <x v="10"/>
    <x v="1"/>
  </r>
  <r>
    <s v="TX501914"/>
    <x v="8"/>
    <x v="2"/>
    <n v="48.2"/>
    <n v="144.60000000000002"/>
    <d v="2025-03-11T00:00:00"/>
    <d v="2025-03-16T00:00:00"/>
    <x v="2"/>
    <x v="4"/>
    <x v="0"/>
    <x v="0"/>
    <x v="7"/>
    <x v="0"/>
    <x v="10"/>
    <x v="2"/>
  </r>
  <r>
    <s v="TX501915"/>
    <x v="2"/>
    <x v="2"/>
    <n v="104.7"/>
    <n v="314.10000000000002"/>
    <d v="2025-03-11T00:00:00"/>
    <d v="2025-03-13T00:00:00"/>
    <x v="2"/>
    <x v="0"/>
    <x v="1"/>
    <x v="0"/>
    <x v="7"/>
    <x v="1"/>
    <x v="10"/>
    <x v="2"/>
  </r>
  <r>
    <s v="TX501916"/>
    <x v="1"/>
    <x v="1"/>
    <n v="80.599999999999994"/>
    <n v="161.19999999999999"/>
    <d v="2025-03-11T00:00:00"/>
    <d v="2025-03-11T00:00:00"/>
    <x v="2"/>
    <x v="1"/>
    <x v="0"/>
    <x v="0"/>
    <x v="8"/>
    <x v="7"/>
    <x v="10"/>
    <x v="2"/>
  </r>
  <r>
    <s v="TX501917"/>
    <x v="6"/>
    <x v="0"/>
    <n v="65.5"/>
    <n v="65.5"/>
    <d v="2025-03-11T00:00:00"/>
    <d v="2025-03-13T00:00:00"/>
    <x v="3"/>
    <x v="1"/>
    <x v="0"/>
    <x v="0"/>
    <x v="8"/>
    <x v="1"/>
    <x v="10"/>
    <x v="3"/>
  </r>
  <r>
    <s v="TX501918"/>
    <x v="9"/>
    <x v="2"/>
    <n v="61.4"/>
    <n v="184.2"/>
    <d v="2025-03-11T00:00:00"/>
    <d v="2025-03-13T00:00:00"/>
    <x v="2"/>
    <x v="4"/>
    <x v="2"/>
    <x v="0"/>
    <x v="8"/>
    <x v="1"/>
    <x v="10"/>
    <x v="2"/>
  </r>
  <r>
    <s v="TX501919"/>
    <x v="0"/>
    <x v="0"/>
    <n v="12.5"/>
    <n v="12.5"/>
    <d v="2025-03-12T00:00:00"/>
    <d v="2025-03-15T00:00:00"/>
    <x v="2"/>
    <x v="0"/>
    <x v="1"/>
    <x v="0"/>
    <x v="8"/>
    <x v="2"/>
    <x v="10"/>
    <x v="2"/>
  </r>
  <r>
    <s v="TX501920"/>
    <x v="4"/>
    <x v="12"/>
    <n v="35.1"/>
    <n v="140.4"/>
    <d v="2025-03-12T00:00:00"/>
    <d v="2025-03-13T00:00:00"/>
    <x v="1"/>
    <x v="2"/>
    <x v="1"/>
    <x v="0"/>
    <x v="17"/>
    <x v="3"/>
    <x v="10"/>
    <x v="1"/>
  </r>
  <r>
    <s v="TX501921"/>
    <x v="5"/>
    <x v="1"/>
    <n v="55.7"/>
    <n v="111.4"/>
    <d v="2025-03-12T00:00:00"/>
    <d v="2025-03-13T00:00:00"/>
    <x v="1"/>
    <x v="0"/>
    <x v="1"/>
    <x v="0"/>
    <x v="26"/>
    <x v="3"/>
    <x v="10"/>
    <x v="1"/>
  </r>
  <r>
    <s v="TX501922"/>
    <x v="7"/>
    <x v="1"/>
    <n v="57.7"/>
    <n v="115.4"/>
    <d v="2025-03-12T00:00:00"/>
    <d v="2025-03-14T00:00:00"/>
    <x v="1"/>
    <x v="4"/>
    <x v="1"/>
    <x v="0"/>
    <x v="9"/>
    <x v="1"/>
    <x v="10"/>
    <x v="1"/>
  </r>
  <r>
    <s v="TX501923"/>
    <x v="2"/>
    <x v="13"/>
    <n v="85.7"/>
    <n v="514.20000000000005"/>
    <d v="2025-03-12T00:00:00"/>
    <d v="2025-03-13T00:00:00"/>
    <x v="1"/>
    <x v="3"/>
    <x v="2"/>
    <x v="0"/>
    <x v="9"/>
    <x v="3"/>
    <x v="10"/>
    <x v="1"/>
  </r>
  <r>
    <s v="TX501924"/>
    <x v="2"/>
    <x v="2"/>
    <n v="86.9"/>
    <n v="260.70000000000005"/>
    <d v="2025-03-12T00:00:00"/>
    <d v="2025-03-14T00:00:00"/>
    <x v="2"/>
    <x v="1"/>
    <x v="0"/>
    <x v="0"/>
    <x v="11"/>
    <x v="1"/>
    <x v="10"/>
    <x v="2"/>
  </r>
  <r>
    <s v="TX501925"/>
    <x v="18"/>
    <x v="1"/>
    <n v="46.4"/>
    <n v="92.8"/>
    <d v="2025-03-12T00:00:00"/>
    <d v="2025-03-15T00:00:00"/>
    <x v="2"/>
    <x v="4"/>
    <x v="0"/>
    <x v="0"/>
    <x v="11"/>
    <x v="2"/>
    <x v="10"/>
    <x v="2"/>
  </r>
  <r>
    <s v="TX501926"/>
    <x v="5"/>
    <x v="2"/>
    <n v="25.4"/>
    <n v="76.199999999999989"/>
    <d v="2025-03-12T00:00:00"/>
    <d v="2025-03-12T00:00:00"/>
    <x v="2"/>
    <x v="2"/>
    <x v="2"/>
    <x v="0"/>
    <x v="18"/>
    <x v="7"/>
    <x v="10"/>
    <x v="2"/>
  </r>
  <r>
    <s v="TX501927"/>
    <x v="10"/>
    <x v="2"/>
    <n v="47.8"/>
    <n v="143.39999999999998"/>
    <d v="2025-03-12T00:00:00"/>
    <d v="2025-03-12T00:00:00"/>
    <x v="0"/>
    <x v="2"/>
    <x v="2"/>
    <x v="0"/>
    <x v="19"/>
    <x v="7"/>
    <x v="10"/>
    <x v="0"/>
  </r>
  <r>
    <s v="TX501928"/>
    <x v="8"/>
    <x v="10"/>
    <n v="18.399999999999999"/>
    <n v="349.59999999999997"/>
    <d v="2025-03-12T00:00:00"/>
    <d v="2025-03-14T00:00:00"/>
    <x v="3"/>
    <x v="2"/>
    <x v="0"/>
    <x v="0"/>
    <x v="20"/>
    <x v="1"/>
    <x v="10"/>
    <x v="3"/>
  </r>
  <r>
    <s v="TX501929"/>
    <x v="12"/>
    <x v="2"/>
    <n v="65.5"/>
    <n v="196.5"/>
    <d v="2025-03-12T00:00:00"/>
    <d v="2025-03-20T00:00:00"/>
    <x v="2"/>
    <x v="0"/>
    <x v="0"/>
    <x v="0"/>
    <x v="21"/>
    <x v="9"/>
    <x v="10"/>
    <x v="2"/>
  </r>
  <r>
    <s v="TX501930"/>
    <x v="10"/>
    <x v="1"/>
    <n v="50.6"/>
    <n v="101.2"/>
    <d v="2025-03-12T00:00:00"/>
    <d v="2025-03-15T00:00:00"/>
    <x v="1"/>
    <x v="2"/>
    <x v="4"/>
    <x v="0"/>
    <x v="21"/>
    <x v="2"/>
    <x v="10"/>
    <x v="1"/>
  </r>
  <r>
    <s v="TX501931"/>
    <x v="3"/>
    <x v="9"/>
    <n v="69"/>
    <n v="345"/>
    <d v="2025-03-12T00:00:00"/>
    <d v="2025-03-16T00:00:00"/>
    <x v="1"/>
    <x v="3"/>
    <x v="0"/>
    <x v="0"/>
    <x v="21"/>
    <x v="5"/>
    <x v="10"/>
    <x v="1"/>
  </r>
  <r>
    <s v="TX501932"/>
    <x v="9"/>
    <x v="8"/>
    <n v="51.1"/>
    <n v="408.8"/>
    <d v="2025-03-12T00:00:00"/>
    <d v="2025-03-14T00:00:00"/>
    <x v="2"/>
    <x v="0"/>
    <x v="0"/>
    <x v="0"/>
    <x v="1"/>
    <x v="1"/>
    <x v="10"/>
    <x v="2"/>
  </r>
  <r>
    <s v="TX501933"/>
    <x v="9"/>
    <x v="0"/>
    <n v="36.1"/>
    <n v="36.1"/>
    <d v="2025-03-12T00:00:00"/>
    <d v="2025-03-13T00:00:00"/>
    <x v="2"/>
    <x v="0"/>
    <x v="2"/>
    <x v="0"/>
    <x v="34"/>
    <x v="3"/>
    <x v="10"/>
    <x v="2"/>
  </r>
  <r>
    <s v="TX501934"/>
    <x v="14"/>
    <x v="0"/>
    <n v="18.7"/>
    <n v="18.7"/>
    <d v="2025-03-12T00:00:00"/>
    <d v="2025-03-13T00:00:00"/>
    <x v="1"/>
    <x v="0"/>
    <x v="0"/>
    <x v="0"/>
    <x v="3"/>
    <x v="3"/>
    <x v="10"/>
    <x v="1"/>
  </r>
  <r>
    <s v="TX501935"/>
    <x v="17"/>
    <x v="0"/>
    <n v="30.1"/>
    <n v="30.1"/>
    <d v="2025-03-12T00:00:00"/>
    <d v="2025-03-15T00:00:00"/>
    <x v="2"/>
    <x v="3"/>
    <x v="1"/>
    <x v="0"/>
    <x v="3"/>
    <x v="2"/>
    <x v="10"/>
    <x v="2"/>
  </r>
  <r>
    <s v="TX501936"/>
    <x v="8"/>
    <x v="0"/>
    <n v="16.3"/>
    <n v="16.3"/>
    <d v="2025-03-12T00:00:00"/>
    <d v="2025-03-13T00:00:00"/>
    <x v="1"/>
    <x v="3"/>
    <x v="0"/>
    <x v="0"/>
    <x v="3"/>
    <x v="3"/>
    <x v="10"/>
    <x v="1"/>
  </r>
  <r>
    <s v="TX501937"/>
    <x v="1"/>
    <x v="2"/>
    <n v="63.8"/>
    <n v="191.39999999999998"/>
    <d v="2025-03-12T00:00:00"/>
    <d v="2025-03-17T00:00:00"/>
    <x v="2"/>
    <x v="2"/>
    <x v="1"/>
    <x v="0"/>
    <x v="3"/>
    <x v="0"/>
    <x v="10"/>
    <x v="2"/>
  </r>
  <r>
    <s v="TX501938"/>
    <x v="1"/>
    <x v="3"/>
    <n v="73.900000000000006"/>
    <n v="517.30000000000007"/>
    <d v="2025-03-12T00:00:00"/>
    <d v="2025-03-12T00:00:00"/>
    <x v="2"/>
    <x v="0"/>
    <x v="1"/>
    <x v="0"/>
    <x v="3"/>
    <x v="7"/>
    <x v="10"/>
    <x v="2"/>
  </r>
  <r>
    <s v="TX501939"/>
    <x v="0"/>
    <x v="1"/>
    <n v="20.2"/>
    <n v="40.4"/>
    <d v="2025-03-12T00:00:00"/>
    <d v="2025-03-13T00:00:00"/>
    <x v="1"/>
    <x v="0"/>
    <x v="1"/>
    <x v="0"/>
    <x v="3"/>
    <x v="3"/>
    <x v="10"/>
    <x v="1"/>
  </r>
  <r>
    <s v="TX501940"/>
    <x v="11"/>
    <x v="5"/>
    <n v="29.5"/>
    <n v="324.5"/>
    <d v="2025-03-12T00:00:00"/>
    <d v="2025-03-13T00:00:00"/>
    <x v="1"/>
    <x v="0"/>
    <x v="0"/>
    <x v="0"/>
    <x v="3"/>
    <x v="3"/>
    <x v="10"/>
    <x v="1"/>
  </r>
  <r>
    <s v="TX501941"/>
    <x v="15"/>
    <x v="3"/>
    <n v="37.9"/>
    <n v="265.3"/>
    <d v="2025-03-12T00:00:00"/>
    <d v="2025-03-13T00:00:00"/>
    <x v="1"/>
    <x v="1"/>
    <x v="0"/>
    <x v="0"/>
    <x v="3"/>
    <x v="3"/>
    <x v="10"/>
    <x v="1"/>
  </r>
  <r>
    <s v="TX501942"/>
    <x v="2"/>
    <x v="0"/>
    <n v="56.5"/>
    <n v="56.5"/>
    <d v="2025-03-12T00:00:00"/>
    <d v="2025-03-13T00:00:00"/>
    <x v="2"/>
    <x v="2"/>
    <x v="1"/>
    <x v="0"/>
    <x v="3"/>
    <x v="3"/>
    <x v="10"/>
    <x v="2"/>
  </r>
  <r>
    <s v="TX501943"/>
    <x v="2"/>
    <x v="1"/>
    <n v="66.900000000000006"/>
    <n v="133.80000000000001"/>
    <d v="2025-03-12T00:00:00"/>
    <d v="2025-03-18T00:00:00"/>
    <x v="1"/>
    <x v="1"/>
    <x v="4"/>
    <x v="0"/>
    <x v="25"/>
    <x v="4"/>
    <x v="10"/>
    <x v="1"/>
  </r>
  <r>
    <s v="TX501944"/>
    <x v="2"/>
    <x v="9"/>
    <n v="51.9"/>
    <n v="259.5"/>
    <d v="2025-03-12T00:00:00"/>
    <d v="2025-03-15T00:00:00"/>
    <x v="1"/>
    <x v="1"/>
    <x v="0"/>
    <x v="0"/>
    <x v="7"/>
    <x v="2"/>
    <x v="10"/>
    <x v="1"/>
  </r>
  <r>
    <s v="TX501945"/>
    <x v="2"/>
    <x v="1"/>
    <n v="75.599999999999994"/>
    <n v="151.19999999999999"/>
    <d v="2025-03-12T00:00:00"/>
    <d v="2025-03-15T00:00:00"/>
    <x v="1"/>
    <x v="1"/>
    <x v="0"/>
    <x v="0"/>
    <x v="8"/>
    <x v="2"/>
    <x v="10"/>
    <x v="1"/>
  </r>
  <r>
    <s v="TX501946"/>
    <x v="12"/>
    <x v="13"/>
    <n v="47.3"/>
    <n v="283.79999999999995"/>
    <d v="2025-03-12T00:00:00"/>
    <d v="2025-03-23T00:00:00"/>
    <x v="1"/>
    <x v="0"/>
    <x v="0"/>
    <x v="0"/>
    <x v="8"/>
    <x v="11"/>
    <x v="10"/>
    <x v="1"/>
  </r>
  <r>
    <s v="TX501947"/>
    <x v="4"/>
    <x v="0"/>
    <n v="20.6"/>
    <n v="20.6"/>
    <d v="2025-03-12T00:00:00"/>
    <d v="2025-03-13T00:00:00"/>
    <x v="0"/>
    <x v="0"/>
    <x v="1"/>
    <x v="0"/>
    <x v="8"/>
    <x v="3"/>
    <x v="10"/>
    <x v="0"/>
  </r>
  <r>
    <s v="TX501948"/>
    <x v="6"/>
    <x v="2"/>
    <n v="49.7"/>
    <n v="149.10000000000002"/>
    <d v="2025-03-12T00:00:00"/>
    <d v="2025-03-14T00:00:00"/>
    <x v="1"/>
    <x v="0"/>
    <x v="1"/>
    <x v="0"/>
    <x v="8"/>
    <x v="1"/>
    <x v="10"/>
    <x v="1"/>
  </r>
  <r>
    <s v="TX501949"/>
    <x v="3"/>
    <x v="0"/>
    <n v="37.9"/>
    <n v="37.9"/>
    <d v="2025-03-12T00:00:00"/>
    <d v="2025-03-14T00:00:00"/>
    <x v="2"/>
    <x v="0"/>
    <x v="0"/>
    <x v="0"/>
    <x v="8"/>
    <x v="1"/>
    <x v="10"/>
    <x v="2"/>
  </r>
  <r>
    <s v="TX501950"/>
    <x v="13"/>
    <x v="20"/>
    <n v="32"/>
    <n v="480"/>
    <d v="2025-03-12T00:00:00"/>
    <d v="2025-03-14T00:00:00"/>
    <x v="2"/>
    <x v="4"/>
    <x v="0"/>
    <x v="0"/>
    <x v="11"/>
    <x v="1"/>
    <x v="10"/>
    <x v="2"/>
  </r>
  <r>
    <s v="TX501951"/>
    <x v="10"/>
    <x v="16"/>
    <n v="38.5"/>
    <n v="693"/>
    <d v="2025-03-13T00:00:00"/>
    <d v="2025-03-14T00:00:00"/>
    <x v="1"/>
    <x v="0"/>
    <x v="2"/>
    <x v="0"/>
    <x v="11"/>
    <x v="3"/>
    <x v="10"/>
    <x v="1"/>
  </r>
  <r>
    <s v="TX501952"/>
    <x v="0"/>
    <x v="12"/>
    <n v="11.7"/>
    <n v="46.8"/>
    <d v="2025-03-13T00:00:00"/>
    <d v="2025-03-15T00:00:00"/>
    <x v="2"/>
    <x v="1"/>
    <x v="0"/>
    <x v="0"/>
    <x v="20"/>
    <x v="1"/>
    <x v="10"/>
    <x v="2"/>
  </r>
  <r>
    <s v="TX501953"/>
    <x v="3"/>
    <x v="13"/>
    <n v="83.8"/>
    <n v="502.79999999999995"/>
    <d v="2025-03-13T00:00:00"/>
    <d v="2025-03-14T00:00:00"/>
    <x v="1"/>
    <x v="0"/>
    <x v="0"/>
    <x v="0"/>
    <x v="21"/>
    <x v="3"/>
    <x v="10"/>
    <x v="1"/>
  </r>
  <r>
    <s v="TX501954"/>
    <x v="0"/>
    <x v="3"/>
    <n v="14"/>
    <n v="98"/>
    <d v="2025-03-13T00:00:00"/>
    <d v="2025-03-16T00:00:00"/>
    <x v="1"/>
    <x v="0"/>
    <x v="1"/>
    <x v="0"/>
    <x v="22"/>
    <x v="2"/>
    <x v="10"/>
    <x v="1"/>
  </r>
  <r>
    <s v="TX501955"/>
    <x v="16"/>
    <x v="12"/>
    <n v="77.3"/>
    <n v="309.2"/>
    <d v="2025-03-13T00:00:00"/>
    <d v="2025-03-15T00:00:00"/>
    <x v="2"/>
    <x v="4"/>
    <x v="2"/>
    <x v="0"/>
    <x v="3"/>
    <x v="1"/>
    <x v="10"/>
    <x v="2"/>
  </r>
  <r>
    <s v="TX501956"/>
    <x v="2"/>
    <x v="1"/>
    <n v="76.900000000000006"/>
    <n v="153.80000000000001"/>
    <d v="2025-03-13T00:00:00"/>
    <d v="2025-03-17T00:00:00"/>
    <x v="2"/>
    <x v="0"/>
    <x v="1"/>
    <x v="0"/>
    <x v="3"/>
    <x v="5"/>
    <x v="10"/>
    <x v="2"/>
  </r>
  <r>
    <s v="TX501957"/>
    <x v="1"/>
    <x v="0"/>
    <n v="48"/>
    <n v="48"/>
    <d v="2025-03-13T00:00:00"/>
    <d v="2025-03-15T00:00:00"/>
    <x v="2"/>
    <x v="1"/>
    <x v="2"/>
    <x v="0"/>
    <x v="3"/>
    <x v="1"/>
    <x v="10"/>
    <x v="2"/>
  </r>
  <r>
    <s v="TX501958"/>
    <x v="2"/>
    <x v="0"/>
    <n v="94.5"/>
    <n v="94.5"/>
    <d v="2025-03-13T00:00:00"/>
    <d v="2025-03-16T00:00:00"/>
    <x v="1"/>
    <x v="1"/>
    <x v="1"/>
    <x v="0"/>
    <x v="3"/>
    <x v="2"/>
    <x v="10"/>
    <x v="1"/>
  </r>
  <r>
    <s v="TX501959"/>
    <x v="10"/>
    <x v="2"/>
    <n v="58.4"/>
    <n v="175.2"/>
    <d v="2025-03-13T00:00:00"/>
    <d v="2025-03-15T00:00:00"/>
    <x v="2"/>
    <x v="1"/>
    <x v="2"/>
    <x v="0"/>
    <x v="3"/>
    <x v="1"/>
    <x v="10"/>
    <x v="2"/>
  </r>
  <r>
    <s v="TX501960"/>
    <x v="7"/>
    <x v="15"/>
    <n v="42.2"/>
    <n v="548.6"/>
    <d v="2025-03-13T00:00:00"/>
    <d v="2025-03-13T00:00:00"/>
    <x v="1"/>
    <x v="0"/>
    <x v="0"/>
    <x v="0"/>
    <x v="25"/>
    <x v="7"/>
    <x v="10"/>
    <x v="1"/>
  </r>
  <r>
    <s v="TX501961"/>
    <x v="6"/>
    <x v="1"/>
    <n v="152.19999999999999"/>
    <n v="304.39999999999998"/>
    <d v="2025-03-13T00:00:00"/>
    <d v="2025-03-14T00:00:00"/>
    <x v="1"/>
    <x v="4"/>
    <x v="1"/>
    <x v="0"/>
    <x v="25"/>
    <x v="3"/>
    <x v="10"/>
    <x v="1"/>
  </r>
  <r>
    <s v="TX501962"/>
    <x v="6"/>
    <x v="25"/>
    <n v="72"/>
    <n v="1728"/>
    <d v="2025-03-13T00:00:00"/>
    <d v="2025-03-14T00:00:00"/>
    <x v="1"/>
    <x v="0"/>
    <x v="1"/>
    <x v="0"/>
    <x v="6"/>
    <x v="3"/>
    <x v="10"/>
    <x v="1"/>
  </r>
  <r>
    <s v="TX501963"/>
    <x v="1"/>
    <x v="44"/>
    <n v="70.900000000000006"/>
    <n v="1630.7"/>
    <d v="2025-03-13T00:00:00"/>
    <d v="2025-03-14T00:00:00"/>
    <x v="2"/>
    <x v="2"/>
    <x v="0"/>
    <x v="0"/>
    <x v="8"/>
    <x v="3"/>
    <x v="10"/>
    <x v="2"/>
  </r>
  <r>
    <s v="TX501964"/>
    <x v="2"/>
    <x v="1"/>
    <n v="53.7"/>
    <n v="107.4"/>
    <d v="2025-03-13T00:00:00"/>
    <d v="2025-03-14T00:00:00"/>
    <x v="1"/>
    <x v="2"/>
    <x v="2"/>
    <x v="0"/>
    <x v="8"/>
    <x v="3"/>
    <x v="10"/>
    <x v="1"/>
  </r>
  <r>
    <s v="TX501965"/>
    <x v="9"/>
    <x v="12"/>
    <n v="42.9"/>
    <n v="171.6"/>
    <d v="2025-03-13T00:00:00"/>
    <d v="2025-03-14T00:00:00"/>
    <x v="2"/>
    <x v="2"/>
    <x v="4"/>
    <x v="0"/>
    <x v="9"/>
    <x v="3"/>
    <x v="10"/>
    <x v="2"/>
  </r>
  <r>
    <s v="TX501966"/>
    <x v="2"/>
    <x v="3"/>
    <n v="107.5"/>
    <n v="752.5"/>
    <d v="2025-03-13T00:00:00"/>
    <d v="2025-03-14T00:00:00"/>
    <x v="1"/>
    <x v="1"/>
    <x v="0"/>
    <x v="0"/>
    <x v="11"/>
    <x v="3"/>
    <x v="10"/>
    <x v="1"/>
  </r>
  <r>
    <s v="TX501967"/>
    <x v="17"/>
    <x v="27"/>
    <n v="21.5"/>
    <n v="344"/>
    <d v="2025-03-13T00:00:00"/>
    <d v="2025-03-14T00:00:00"/>
    <x v="1"/>
    <x v="1"/>
    <x v="1"/>
    <x v="0"/>
    <x v="32"/>
    <x v="3"/>
    <x v="10"/>
    <x v="1"/>
  </r>
  <r>
    <s v="TX501968"/>
    <x v="3"/>
    <x v="9"/>
    <n v="85.3"/>
    <n v="426.5"/>
    <d v="2025-03-13T00:00:00"/>
    <d v="2025-03-15T00:00:00"/>
    <x v="2"/>
    <x v="3"/>
    <x v="0"/>
    <x v="0"/>
    <x v="18"/>
    <x v="1"/>
    <x v="10"/>
    <x v="2"/>
  </r>
  <r>
    <s v="TX501969"/>
    <x v="7"/>
    <x v="9"/>
    <n v="80.8"/>
    <n v="404"/>
    <d v="2025-03-13T00:00:00"/>
    <d v="2025-03-21T00:00:00"/>
    <x v="3"/>
    <x v="1"/>
    <x v="1"/>
    <x v="0"/>
    <x v="19"/>
    <x v="9"/>
    <x v="10"/>
    <x v="3"/>
  </r>
  <r>
    <s v="TX501970"/>
    <x v="2"/>
    <x v="2"/>
    <n v="123.1"/>
    <n v="369.29999999999995"/>
    <d v="2025-03-13T00:00:00"/>
    <d v="2025-03-15T00:00:00"/>
    <x v="0"/>
    <x v="2"/>
    <x v="0"/>
    <x v="0"/>
    <x v="21"/>
    <x v="1"/>
    <x v="10"/>
    <x v="0"/>
  </r>
  <r>
    <s v="TX501971"/>
    <x v="8"/>
    <x v="1"/>
    <n v="36.9"/>
    <n v="73.8"/>
    <d v="2025-03-13T00:00:00"/>
    <d v="2025-03-15T00:00:00"/>
    <x v="2"/>
    <x v="2"/>
    <x v="4"/>
    <x v="0"/>
    <x v="51"/>
    <x v="1"/>
    <x v="10"/>
    <x v="2"/>
  </r>
  <r>
    <s v="TX501972"/>
    <x v="11"/>
    <x v="9"/>
    <n v="40"/>
    <n v="200"/>
    <d v="2025-03-13T00:00:00"/>
    <d v="2025-03-14T00:00:00"/>
    <x v="1"/>
    <x v="0"/>
    <x v="0"/>
    <x v="0"/>
    <x v="1"/>
    <x v="3"/>
    <x v="10"/>
    <x v="1"/>
  </r>
  <r>
    <s v="TX501973"/>
    <x v="6"/>
    <x v="2"/>
    <n v="55.5"/>
    <n v="166.5"/>
    <d v="2025-03-13T00:00:00"/>
    <d v="2025-03-14T00:00:00"/>
    <x v="1"/>
    <x v="4"/>
    <x v="2"/>
    <x v="0"/>
    <x v="1"/>
    <x v="3"/>
    <x v="10"/>
    <x v="1"/>
  </r>
  <r>
    <s v="TX501974"/>
    <x v="0"/>
    <x v="12"/>
    <n v="20.5"/>
    <n v="82"/>
    <d v="2025-03-13T00:00:00"/>
    <d v="2025-03-17T00:00:00"/>
    <x v="2"/>
    <x v="4"/>
    <x v="0"/>
    <x v="0"/>
    <x v="1"/>
    <x v="5"/>
    <x v="10"/>
    <x v="2"/>
  </r>
  <r>
    <s v="TX501975"/>
    <x v="18"/>
    <x v="12"/>
    <n v="50.1"/>
    <n v="200.4"/>
    <d v="2025-03-13T00:00:00"/>
    <d v="2025-03-14T00:00:00"/>
    <x v="2"/>
    <x v="4"/>
    <x v="0"/>
    <x v="0"/>
    <x v="1"/>
    <x v="3"/>
    <x v="10"/>
    <x v="2"/>
  </r>
  <r>
    <s v="TX501976"/>
    <x v="9"/>
    <x v="0"/>
    <n v="35.9"/>
    <n v="35.9"/>
    <d v="2025-03-13T00:00:00"/>
    <d v="2025-03-15T00:00:00"/>
    <x v="1"/>
    <x v="1"/>
    <x v="2"/>
    <x v="0"/>
    <x v="1"/>
    <x v="1"/>
    <x v="10"/>
    <x v="1"/>
  </r>
  <r>
    <s v="TX501977"/>
    <x v="13"/>
    <x v="12"/>
    <n v="29.4"/>
    <n v="117.6"/>
    <d v="2025-03-14T00:00:00"/>
    <d v="2025-03-15T00:00:00"/>
    <x v="1"/>
    <x v="2"/>
    <x v="2"/>
    <x v="0"/>
    <x v="33"/>
    <x v="3"/>
    <x v="10"/>
    <x v="1"/>
  </r>
  <r>
    <s v="TX501978"/>
    <x v="8"/>
    <x v="9"/>
    <n v="29.1"/>
    <n v="145.5"/>
    <d v="2025-03-14T00:00:00"/>
    <d v="2025-03-22T00:00:00"/>
    <x v="3"/>
    <x v="2"/>
    <x v="1"/>
    <x v="0"/>
    <x v="33"/>
    <x v="9"/>
    <x v="10"/>
    <x v="3"/>
  </r>
  <r>
    <s v="TX501979"/>
    <x v="8"/>
    <x v="2"/>
    <n v="33.5"/>
    <n v="100.5"/>
    <d v="2025-03-14T00:00:00"/>
    <d v="2025-03-26T00:00:00"/>
    <x v="1"/>
    <x v="0"/>
    <x v="2"/>
    <x v="0"/>
    <x v="22"/>
    <x v="13"/>
    <x v="10"/>
    <x v="1"/>
  </r>
  <r>
    <s v="TX501980"/>
    <x v="4"/>
    <x v="7"/>
    <n v="36"/>
    <n v="360"/>
    <d v="2025-03-14T00:00:00"/>
    <d v="2025-03-14T00:00:00"/>
    <x v="1"/>
    <x v="3"/>
    <x v="2"/>
    <x v="0"/>
    <x v="3"/>
    <x v="7"/>
    <x v="10"/>
    <x v="1"/>
  </r>
  <r>
    <s v="TX501981"/>
    <x v="16"/>
    <x v="2"/>
    <n v="57.3"/>
    <n v="171.89999999999998"/>
    <d v="2025-03-14T00:00:00"/>
    <d v="2025-03-18T00:00:00"/>
    <x v="2"/>
    <x v="0"/>
    <x v="2"/>
    <x v="0"/>
    <x v="3"/>
    <x v="5"/>
    <x v="10"/>
    <x v="2"/>
  </r>
  <r>
    <s v="TX501982"/>
    <x v="1"/>
    <x v="0"/>
    <n v="81.400000000000006"/>
    <n v="81.400000000000006"/>
    <d v="2025-03-14T00:00:00"/>
    <d v="2025-03-15T00:00:00"/>
    <x v="2"/>
    <x v="2"/>
    <x v="2"/>
    <x v="0"/>
    <x v="3"/>
    <x v="3"/>
    <x v="10"/>
    <x v="2"/>
  </r>
  <r>
    <s v="TX501983"/>
    <x v="10"/>
    <x v="1"/>
    <n v="35.299999999999997"/>
    <n v="70.599999999999994"/>
    <d v="2025-03-14T00:00:00"/>
    <d v="2025-03-18T00:00:00"/>
    <x v="1"/>
    <x v="0"/>
    <x v="2"/>
    <x v="0"/>
    <x v="3"/>
    <x v="5"/>
    <x v="10"/>
    <x v="1"/>
  </r>
  <r>
    <s v="TX501984"/>
    <x v="3"/>
    <x v="0"/>
    <n v="36.1"/>
    <n v="36.1"/>
    <d v="2025-03-14T00:00:00"/>
    <d v="2025-03-15T00:00:00"/>
    <x v="2"/>
    <x v="4"/>
    <x v="0"/>
    <x v="0"/>
    <x v="3"/>
    <x v="3"/>
    <x v="10"/>
    <x v="2"/>
  </r>
  <r>
    <s v="TX501985"/>
    <x v="1"/>
    <x v="1"/>
    <n v="36.700000000000003"/>
    <n v="73.400000000000006"/>
    <d v="2025-03-14T00:00:00"/>
    <d v="2025-03-16T00:00:00"/>
    <x v="2"/>
    <x v="0"/>
    <x v="2"/>
    <x v="0"/>
    <x v="3"/>
    <x v="1"/>
    <x v="10"/>
    <x v="2"/>
  </r>
  <r>
    <s v="TX501986"/>
    <x v="10"/>
    <x v="0"/>
    <n v="20.9"/>
    <n v="20.9"/>
    <d v="2025-03-14T00:00:00"/>
    <d v="2025-03-16T00:00:00"/>
    <x v="2"/>
    <x v="0"/>
    <x v="4"/>
    <x v="0"/>
    <x v="3"/>
    <x v="1"/>
    <x v="10"/>
    <x v="2"/>
  </r>
  <r>
    <s v="TX501987"/>
    <x v="12"/>
    <x v="2"/>
    <n v="58.8"/>
    <n v="176.39999999999998"/>
    <d v="2025-03-14T00:00:00"/>
    <d v="2025-03-18T00:00:00"/>
    <x v="1"/>
    <x v="0"/>
    <x v="2"/>
    <x v="0"/>
    <x v="25"/>
    <x v="5"/>
    <x v="10"/>
    <x v="1"/>
  </r>
  <r>
    <s v="TX501988"/>
    <x v="2"/>
    <x v="2"/>
    <n v="97.6"/>
    <n v="292.79999999999995"/>
    <d v="2025-03-15T00:00:00"/>
    <d v="2025-03-17T00:00:00"/>
    <x v="0"/>
    <x v="0"/>
    <x v="0"/>
    <x v="0"/>
    <x v="6"/>
    <x v="1"/>
    <x v="10"/>
    <x v="0"/>
  </r>
  <r>
    <s v="TX501989"/>
    <x v="1"/>
    <x v="1"/>
    <n v="58.7"/>
    <n v="117.4"/>
    <d v="2025-03-15T00:00:00"/>
    <d v="2025-03-18T00:00:00"/>
    <x v="2"/>
    <x v="0"/>
    <x v="1"/>
    <x v="0"/>
    <x v="6"/>
    <x v="2"/>
    <x v="10"/>
    <x v="2"/>
  </r>
  <r>
    <s v="TX501990"/>
    <x v="6"/>
    <x v="9"/>
    <n v="71.900000000000006"/>
    <n v="359.5"/>
    <d v="2025-03-15T00:00:00"/>
    <d v="2025-03-16T00:00:00"/>
    <x v="0"/>
    <x v="0"/>
    <x v="1"/>
    <x v="0"/>
    <x v="6"/>
    <x v="3"/>
    <x v="10"/>
    <x v="0"/>
  </r>
  <r>
    <s v="TX501991"/>
    <x v="1"/>
    <x v="1"/>
    <n v="62.4"/>
    <n v="124.8"/>
    <d v="2025-03-15T00:00:00"/>
    <d v="2025-03-17T00:00:00"/>
    <x v="0"/>
    <x v="0"/>
    <x v="1"/>
    <x v="0"/>
    <x v="8"/>
    <x v="1"/>
    <x v="10"/>
    <x v="0"/>
  </r>
  <r>
    <s v="TX501992"/>
    <x v="6"/>
    <x v="27"/>
    <n v="53.8"/>
    <n v="860.8"/>
    <d v="2025-03-15T00:00:00"/>
    <d v="2025-03-16T00:00:00"/>
    <x v="2"/>
    <x v="1"/>
    <x v="0"/>
    <x v="0"/>
    <x v="8"/>
    <x v="3"/>
    <x v="10"/>
    <x v="2"/>
  </r>
  <r>
    <s v="TX501993"/>
    <x v="9"/>
    <x v="0"/>
    <n v="43.8"/>
    <n v="43.8"/>
    <d v="2025-03-15T00:00:00"/>
    <d v="2025-03-22T00:00:00"/>
    <x v="2"/>
    <x v="0"/>
    <x v="2"/>
    <x v="0"/>
    <x v="8"/>
    <x v="6"/>
    <x v="10"/>
    <x v="2"/>
  </r>
  <r>
    <s v="TX501994"/>
    <x v="5"/>
    <x v="2"/>
    <n v="53.6"/>
    <n v="160.80000000000001"/>
    <d v="2025-03-15T00:00:00"/>
    <d v="2025-03-16T00:00:00"/>
    <x v="1"/>
    <x v="3"/>
    <x v="0"/>
    <x v="0"/>
    <x v="8"/>
    <x v="3"/>
    <x v="10"/>
    <x v="1"/>
  </r>
  <r>
    <s v="TX501995"/>
    <x v="12"/>
    <x v="1"/>
    <n v="84.3"/>
    <n v="168.6"/>
    <d v="2025-03-15T00:00:00"/>
    <d v="2025-03-18T00:00:00"/>
    <x v="1"/>
    <x v="4"/>
    <x v="1"/>
    <x v="0"/>
    <x v="8"/>
    <x v="2"/>
    <x v="10"/>
    <x v="1"/>
  </r>
  <r>
    <s v="TX501996"/>
    <x v="6"/>
    <x v="11"/>
    <n v="117.9"/>
    <n v="1061.1000000000001"/>
    <d v="2025-03-15T00:00:00"/>
    <d v="2025-03-16T00:00:00"/>
    <x v="2"/>
    <x v="1"/>
    <x v="2"/>
    <x v="0"/>
    <x v="8"/>
    <x v="3"/>
    <x v="10"/>
    <x v="2"/>
  </r>
  <r>
    <s v="TX501997"/>
    <x v="4"/>
    <x v="8"/>
    <n v="30"/>
    <n v="240"/>
    <d v="2025-03-15T00:00:00"/>
    <d v="2025-03-16T00:00:00"/>
    <x v="2"/>
    <x v="1"/>
    <x v="0"/>
    <x v="0"/>
    <x v="26"/>
    <x v="3"/>
    <x v="10"/>
    <x v="2"/>
  </r>
  <r>
    <s v="TX501998"/>
    <x v="14"/>
    <x v="2"/>
    <n v="37.299999999999997"/>
    <n v="111.89999999999999"/>
    <d v="2025-03-15T00:00:00"/>
    <d v="2025-03-16T00:00:00"/>
    <x v="1"/>
    <x v="2"/>
    <x v="0"/>
    <x v="0"/>
    <x v="9"/>
    <x v="3"/>
    <x v="10"/>
    <x v="1"/>
  </r>
  <r>
    <s v="TX501999"/>
    <x v="4"/>
    <x v="11"/>
    <n v="25.1"/>
    <n v="225.9"/>
    <d v="2025-03-15T00:00:00"/>
    <d v="2025-03-17T00:00:00"/>
    <x v="1"/>
    <x v="1"/>
    <x v="2"/>
    <x v="0"/>
    <x v="11"/>
    <x v="1"/>
    <x v="10"/>
    <x v="1"/>
  </r>
  <r>
    <s v="TX502000"/>
    <x v="8"/>
    <x v="5"/>
    <n v="36"/>
    <n v="396"/>
    <d v="2025-03-15T00:00:00"/>
    <d v="2025-03-25T00:00:00"/>
    <x v="1"/>
    <x v="1"/>
    <x v="0"/>
    <x v="0"/>
    <x v="18"/>
    <x v="14"/>
    <x v="10"/>
    <x v="1"/>
  </r>
  <r>
    <s v="TX502001"/>
    <x v="16"/>
    <x v="2"/>
    <n v="48.5"/>
    <n v="145.5"/>
    <d v="2025-03-15T00:00:00"/>
    <d v="2025-03-19T00:00:00"/>
    <x v="2"/>
    <x v="1"/>
    <x v="0"/>
    <x v="0"/>
    <x v="19"/>
    <x v="5"/>
    <x v="10"/>
    <x v="2"/>
  </r>
  <r>
    <s v="TX502002"/>
    <x v="17"/>
    <x v="13"/>
    <n v="21.1"/>
    <n v="126.60000000000001"/>
    <d v="2025-03-15T00:00:00"/>
    <d v="2025-03-16T00:00:00"/>
    <x v="1"/>
    <x v="1"/>
    <x v="2"/>
    <x v="0"/>
    <x v="21"/>
    <x v="3"/>
    <x v="10"/>
    <x v="1"/>
  </r>
  <r>
    <s v="TX502003"/>
    <x v="15"/>
    <x v="21"/>
    <n v="43.2"/>
    <n v="604.80000000000007"/>
    <d v="2025-03-15T00:00:00"/>
    <d v="2025-03-16T00:00:00"/>
    <x v="3"/>
    <x v="0"/>
    <x v="1"/>
    <x v="0"/>
    <x v="21"/>
    <x v="3"/>
    <x v="10"/>
    <x v="3"/>
  </r>
  <r>
    <s v="TX502004"/>
    <x v="9"/>
    <x v="1"/>
    <n v="21.1"/>
    <n v="42.2"/>
    <d v="2025-03-15T00:00:00"/>
    <d v="2025-03-16T00:00:00"/>
    <x v="0"/>
    <x v="3"/>
    <x v="1"/>
    <x v="0"/>
    <x v="21"/>
    <x v="3"/>
    <x v="10"/>
    <x v="0"/>
  </r>
  <r>
    <s v="TX502005"/>
    <x v="6"/>
    <x v="12"/>
    <n v="41.3"/>
    <n v="165.2"/>
    <d v="2025-03-15T00:00:00"/>
    <d v="2025-03-17T00:00:00"/>
    <x v="2"/>
    <x v="3"/>
    <x v="2"/>
    <x v="0"/>
    <x v="1"/>
    <x v="1"/>
    <x v="10"/>
    <x v="2"/>
  </r>
  <r>
    <s v="TX502006"/>
    <x v="8"/>
    <x v="1"/>
    <n v="15.3"/>
    <n v="30.6"/>
    <d v="2025-03-15T00:00:00"/>
    <d v="2025-03-18T00:00:00"/>
    <x v="0"/>
    <x v="2"/>
    <x v="2"/>
    <x v="0"/>
    <x v="1"/>
    <x v="2"/>
    <x v="10"/>
    <x v="0"/>
  </r>
  <r>
    <s v="TX502007"/>
    <x v="1"/>
    <x v="0"/>
    <n v="54.6"/>
    <n v="54.6"/>
    <d v="2025-03-15T00:00:00"/>
    <d v="2025-03-17T00:00:00"/>
    <x v="1"/>
    <x v="1"/>
    <x v="1"/>
    <x v="0"/>
    <x v="2"/>
    <x v="1"/>
    <x v="10"/>
    <x v="1"/>
  </r>
  <r>
    <s v="TX502008"/>
    <x v="8"/>
    <x v="0"/>
    <n v="15.9"/>
    <n v="15.9"/>
    <d v="2025-03-15T00:00:00"/>
    <d v="2025-03-16T00:00:00"/>
    <x v="1"/>
    <x v="0"/>
    <x v="1"/>
    <x v="0"/>
    <x v="22"/>
    <x v="3"/>
    <x v="10"/>
    <x v="1"/>
  </r>
  <r>
    <s v="TX502009"/>
    <x v="9"/>
    <x v="0"/>
    <n v="50.2"/>
    <n v="50.2"/>
    <d v="2025-03-15T00:00:00"/>
    <d v="2025-03-17T00:00:00"/>
    <x v="2"/>
    <x v="3"/>
    <x v="2"/>
    <x v="0"/>
    <x v="34"/>
    <x v="1"/>
    <x v="10"/>
    <x v="2"/>
  </r>
  <r>
    <s v="TX502010"/>
    <x v="11"/>
    <x v="12"/>
    <n v="85.1"/>
    <n v="340.4"/>
    <d v="2025-03-15T00:00:00"/>
    <d v="2025-03-16T00:00:00"/>
    <x v="2"/>
    <x v="3"/>
    <x v="4"/>
    <x v="0"/>
    <x v="34"/>
    <x v="3"/>
    <x v="10"/>
    <x v="2"/>
  </r>
  <r>
    <s v="TX502011"/>
    <x v="11"/>
    <x v="1"/>
    <n v="41.4"/>
    <n v="82.8"/>
    <d v="2025-03-15T00:00:00"/>
    <d v="2025-03-16T00:00:00"/>
    <x v="2"/>
    <x v="0"/>
    <x v="2"/>
    <x v="0"/>
    <x v="3"/>
    <x v="3"/>
    <x v="10"/>
    <x v="2"/>
  </r>
  <r>
    <s v="TX502012"/>
    <x v="4"/>
    <x v="3"/>
    <n v="32.700000000000003"/>
    <n v="228.90000000000003"/>
    <d v="2025-03-15T00:00:00"/>
    <d v="2025-03-16T00:00:00"/>
    <x v="2"/>
    <x v="2"/>
    <x v="1"/>
    <x v="0"/>
    <x v="3"/>
    <x v="3"/>
    <x v="10"/>
    <x v="2"/>
  </r>
  <r>
    <s v="TX502013"/>
    <x v="4"/>
    <x v="1"/>
    <n v="41.6"/>
    <n v="83.2"/>
    <d v="2025-03-15T00:00:00"/>
    <d v="2025-03-17T00:00:00"/>
    <x v="1"/>
    <x v="4"/>
    <x v="1"/>
    <x v="0"/>
    <x v="3"/>
    <x v="1"/>
    <x v="10"/>
    <x v="1"/>
  </r>
  <r>
    <s v="TX502014"/>
    <x v="5"/>
    <x v="12"/>
    <n v="64.8"/>
    <n v="259.2"/>
    <d v="2025-03-15T00:00:00"/>
    <d v="2025-03-16T00:00:00"/>
    <x v="0"/>
    <x v="2"/>
    <x v="0"/>
    <x v="0"/>
    <x v="3"/>
    <x v="3"/>
    <x v="10"/>
    <x v="0"/>
  </r>
  <r>
    <s v="TX502015"/>
    <x v="15"/>
    <x v="1"/>
    <n v="33.6"/>
    <n v="67.2"/>
    <d v="2025-03-15T00:00:00"/>
    <d v="2025-03-16T00:00:00"/>
    <x v="1"/>
    <x v="0"/>
    <x v="2"/>
    <x v="0"/>
    <x v="3"/>
    <x v="3"/>
    <x v="10"/>
    <x v="1"/>
  </r>
  <r>
    <s v="TX502016"/>
    <x v="6"/>
    <x v="2"/>
    <n v="100.7"/>
    <n v="302.10000000000002"/>
    <d v="2025-03-15T00:00:00"/>
    <d v="2025-03-16T00:00:00"/>
    <x v="0"/>
    <x v="1"/>
    <x v="0"/>
    <x v="0"/>
    <x v="3"/>
    <x v="3"/>
    <x v="10"/>
    <x v="0"/>
  </r>
  <r>
    <s v="TX502017"/>
    <x v="4"/>
    <x v="1"/>
    <n v="49.3"/>
    <n v="98.6"/>
    <d v="2025-03-16T00:00:00"/>
    <d v="2025-03-18T00:00:00"/>
    <x v="2"/>
    <x v="4"/>
    <x v="2"/>
    <x v="0"/>
    <x v="3"/>
    <x v="1"/>
    <x v="11"/>
    <x v="2"/>
  </r>
  <r>
    <s v="TX502018"/>
    <x v="2"/>
    <x v="13"/>
    <n v="97"/>
    <n v="582"/>
    <d v="2025-03-16T00:00:00"/>
    <d v="2025-03-19T00:00:00"/>
    <x v="1"/>
    <x v="2"/>
    <x v="2"/>
    <x v="0"/>
    <x v="3"/>
    <x v="2"/>
    <x v="11"/>
    <x v="1"/>
  </r>
  <r>
    <s v="TX502019"/>
    <x v="0"/>
    <x v="13"/>
    <n v="25.2"/>
    <n v="151.19999999999999"/>
    <d v="2025-03-16T00:00:00"/>
    <d v="2025-03-19T00:00:00"/>
    <x v="2"/>
    <x v="4"/>
    <x v="2"/>
    <x v="0"/>
    <x v="3"/>
    <x v="2"/>
    <x v="11"/>
    <x v="2"/>
  </r>
  <r>
    <s v="TX502020"/>
    <x v="0"/>
    <x v="5"/>
    <n v="12.2"/>
    <n v="134.19999999999999"/>
    <d v="2025-03-16T00:00:00"/>
    <d v="2025-03-17T00:00:00"/>
    <x v="0"/>
    <x v="0"/>
    <x v="1"/>
    <x v="0"/>
    <x v="3"/>
    <x v="3"/>
    <x v="11"/>
    <x v="0"/>
  </r>
  <r>
    <s v="TX502021"/>
    <x v="8"/>
    <x v="3"/>
    <n v="38.799999999999997"/>
    <n v="271.59999999999997"/>
    <d v="2025-03-16T00:00:00"/>
    <d v="2025-03-18T00:00:00"/>
    <x v="2"/>
    <x v="1"/>
    <x v="1"/>
    <x v="0"/>
    <x v="23"/>
    <x v="1"/>
    <x v="11"/>
    <x v="2"/>
  </r>
  <r>
    <s v="TX502022"/>
    <x v="2"/>
    <x v="12"/>
    <n v="53.2"/>
    <n v="212.8"/>
    <d v="2025-03-16T00:00:00"/>
    <d v="2025-03-17T00:00:00"/>
    <x v="1"/>
    <x v="0"/>
    <x v="2"/>
    <x v="0"/>
    <x v="8"/>
    <x v="3"/>
    <x v="11"/>
    <x v="1"/>
  </r>
  <r>
    <s v="TX502023"/>
    <x v="6"/>
    <x v="3"/>
    <n v="151"/>
    <n v="1057"/>
    <d v="2025-03-16T00:00:00"/>
    <d v="2025-03-17T00:00:00"/>
    <x v="3"/>
    <x v="1"/>
    <x v="1"/>
    <x v="0"/>
    <x v="8"/>
    <x v="3"/>
    <x v="11"/>
    <x v="3"/>
  </r>
  <r>
    <s v="TX502024"/>
    <x v="1"/>
    <x v="1"/>
    <n v="37.1"/>
    <n v="74.2"/>
    <d v="2025-03-16T00:00:00"/>
    <d v="2025-03-17T00:00:00"/>
    <x v="2"/>
    <x v="4"/>
    <x v="0"/>
    <x v="0"/>
    <x v="8"/>
    <x v="3"/>
    <x v="11"/>
    <x v="2"/>
  </r>
  <r>
    <s v="TX502025"/>
    <x v="5"/>
    <x v="1"/>
    <n v="38.9"/>
    <n v="77.8"/>
    <d v="2025-03-16T00:00:00"/>
    <d v="2025-03-17T00:00:00"/>
    <x v="1"/>
    <x v="4"/>
    <x v="0"/>
    <x v="0"/>
    <x v="8"/>
    <x v="3"/>
    <x v="11"/>
    <x v="1"/>
  </r>
  <r>
    <s v="TX502026"/>
    <x v="10"/>
    <x v="1"/>
    <n v="35.200000000000003"/>
    <n v="70.400000000000006"/>
    <d v="2025-03-16T00:00:00"/>
    <d v="2025-03-17T00:00:00"/>
    <x v="1"/>
    <x v="0"/>
    <x v="2"/>
    <x v="0"/>
    <x v="17"/>
    <x v="3"/>
    <x v="11"/>
    <x v="1"/>
  </r>
  <r>
    <s v="TX502027"/>
    <x v="0"/>
    <x v="1"/>
    <n v="22.3"/>
    <n v="44.6"/>
    <d v="2025-03-16T00:00:00"/>
    <d v="2025-03-18T00:00:00"/>
    <x v="2"/>
    <x v="1"/>
    <x v="0"/>
    <x v="0"/>
    <x v="9"/>
    <x v="1"/>
    <x v="11"/>
    <x v="2"/>
  </r>
  <r>
    <s v="TX502028"/>
    <x v="9"/>
    <x v="0"/>
    <n v="43.3"/>
    <n v="43.3"/>
    <d v="2025-03-16T00:00:00"/>
    <d v="2025-03-19T00:00:00"/>
    <x v="2"/>
    <x v="0"/>
    <x v="2"/>
    <x v="0"/>
    <x v="11"/>
    <x v="2"/>
    <x v="11"/>
    <x v="2"/>
  </r>
  <r>
    <s v="TX502029"/>
    <x v="6"/>
    <x v="13"/>
    <n v="75.900000000000006"/>
    <n v="455.40000000000003"/>
    <d v="2025-03-16T00:00:00"/>
    <d v="2025-03-22T00:00:00"/>
    <x v="1"/>
    <x v="0"/>
    <x v="0"/>
    <x v="0"/>
    <x v="11"/>
    <x v="4"/>
    <x v="11"/>
    <x v="1"/>
  </r>
  <r>
    <s v="TX502030"/>
    <x v="6"/>
    <x v="2"/>
    <n v="78.7"/>
    <n v="236.10000000000002"/>
    <d v="2025-03-16T00:00:00"/>
    <d v="2025-03-20T00:00:00"/>
    <x v="2"/>
    <x v="2"/>
    <x v="1"/>
    <x v="0"/>
    <x v="11"/>
    <x v="5"/>
    <x v="11"/>
    <x v="2"/>
  </r>
  <r>
    <s v="TX502031"/>
    <x v="1"/>
    <x v="0"/>
    <n v="66.3"/>
    <n v="66.3"/>
    <d v="2025-03-16T00:00:00"/>
    <d v="2025-03-20T00:00:00"/>
    <x v="2"/>
    <x v="0"/>
    <x v="2"/>
    <x v="0"/>
    <x v="19"/>
    <x v="5"/>
    <x v="11"/>
    <x v="2"/>
  </r>
  <r>
    <s v="TX502032"/>
    <x v="8"/>
    <x v="1"/>
    <n v="33.6"/>
    <n v="67.2"/>
    <d v="2025-03-16T00:00:00"/>
    <d v="2025-03-16T00:00:00"/>
    <x v="1"/>
    <x v="0"/>
    <x v="1"/>
    <x v="0"/>
    <x v="19"/>
    <x v="7"/>
    <x v="11"/>
    <x v="1"/>
  </r>
  <r>
    <s v="TX502033"/>
    <x v="2"/>
    <x v="3"/>
    <n v="61.4"/>
    <n v="429.8"/>
    <d v="2025-03-16T00:00:00"/>
    <d v="2025-03-17T00:00:00"/>
    <x v="1"/>
    <x v="4"/>
    <x v="0"/>
    <x v="0"/>
    <x v="19"/>
    <x v="3"/>
    <x v="11"/>
    <x v="1"/>
  </r>
  <r>
    <s v="TX502034"/>
    <x v="8"/>
    <x v="1"/>
    <n v="17.5"/>
    <n v="35"/>
    <d v="2025-03-16T00:00:00"/>
    <d v="2025-03-19T00:00:00"/>
    <x v="2"/>
    <x v="0"/>
    <x v="0"/>
    <x v="0"/>
    <x v="21"/>
    <x v="2"/>
    <x v="11"/>
    <x v="2"/>
  </r>
  <r>
    <s v="TX502035"/>
    <x v="8"/>
    <x v="1"/>
    <n v="32.5"/>
    <n v="65"/>
    <d v="2025-03-16T00:00:00"/>
    <d v="2025-03-19T00:00:00"/>
    <x v="2"/>
    <x v="1"/>
    <x v="0"/>
    <x v="0"/>
    <x v="21"/>
    <x v="2"/>
    <x v="11"/>
    <x v="2"/>
  </r>
  <r>
    <s v="TX502036"/>
    <x v="4"/>
    <x v="0"/>
    <n v="34.6"/>
    <n v="34.6"/>
    <d v="2025-03-16T00:00:00"/>
    <d v="2025-03-17T00:00:00"/>
    <x v="2"/>
    <x v="4"/>
    <x v="0"/>
    <x v="0"/>
    <x v="21"/>
    <x v="3"/>
    <x v="11"/>
    <x v="2"/>
  </r>
  <r>
    <s v="TX502037"/>
    <x v="2"/>
    <x v="0"/>
    <n v="75.900000000000006"/>
    <n v="75.900000000000006"/>
    <d v="2025-03-16T00:00:00"/>
    <d v="2025-03-16T00:00:00"/>
    <x v="1"/>
    <x v="1"/>
    <x v="2"/>
    <x v="0"/>
    <x v="21"/>
    <x v="7"/>
    <x v="11"/>
    <x v="1"/>
  </r>
  <r>
    <s v="TX502038"/>
    <x v="1"/>
    <x v="2"/>
    <n v="42.1"/>
    <n v="126.30000000000001"/>
    <d v="2025-03-16T00:00:00"/>
    <d v="2025-03-19T00:00:00"/>
    <x v="1"/>
    <x v="1"/>
    <x v="1"/>
    <x v="0"/>
    <x v="21"/>
    <x v="2"/>
    <x v="11"/>
    <x v="1"/>
  </r>
  <r>
    <s v="TX502039"/>
    <x v="7"/>
    <x v="2"/>
    <n v="65.3"/>
    <n v="195.89999999999998"/>
    <d v="2025-03-16T00:00:00"/>
    <d v="2025-03-23T00:00:00"/>
    <x v="1"/>
    <x v="0"/>
    <x v="0"/>
    <x v="0"/>
    <x v="1"/>
    <x v="6"/>
    <x v="11"/>
    <x v="1"/>
  </r>
  <r>
    <s v="TX502040"/>
    <x v="15"/>
    <x v="0"/>
    <n v="20.6"/>
    <n v="20.6"/>
    <d v="2025-03-16T00:00:00"/>
    <d v="2025-03-19T00:00:00"/>
    <x v="1"/>
    <x v="3"/>
    <x v="0"/>
    <x v="0"/>
    <x v="42"/>
    <x v="2"/>
    <x v="11"/>
    <x v="1"/>
  </r>
  <r>
    <s v="TX502041"/>
    <x v="8"/>
    <x v="3"/>
    <n v="16.5"/>
    <n v="115.5"/>
    <d v="2025-03-16T00:00:00"/>
    <d v="2025-03-17T00:00:00"/>
    <x v="1"/>
    <x v="1"/>
    <x v="1"/>
    <x v="0"/>
    <x v="2"/>
    <x v="3"/>
    <x v="11"/>
    <x v="1"/>
  </r>
  <r>
    <s v="TX502042"/>
    <x v="16"/>
    <x v="7"/>
    <n v="36.200000000000003"/>
    <n v="362"/>
    <d v="2025-03-16T00:00:00"/>
    <d v="2025-03-18T00:00:00"/>
    <x v="1"/>
    <x v="0"/>
    <x v="2"/>
    <x v="0"/>
    <x v="2"/>
    <x v="1"/>
    <x v="11"/>
    <x v="1"/>
  </r>
  <r>
    <s v="TX502043"/>
    <x v="6"/>
    <x v="0"/>
    <n v="53.2"/>
    <n v="53.2"/>
    <d v="2025-03-16T00:00:00"/>
    <d v="2025-03-17T00:00:00"/>
    <x v="2"/>
    <x v="0"/>
    <x v="1"/>
    <x v="0"/>
    <x v="22"/>
    <x v="3"/>
    <x v="11"/>
    <x v="2"/>
  </r>
  <r>
    <s v="TX502044"/>
    <x v="2"/>
    <x v="21"/>
    <n v="176"/>
    <n v="2464"/>
    <d v="2025-03-16T00:00:00"/>
    <d v="2025-03-17T00:00:00"/>
    <x v="2"/>
    <x v="0"/>
    <x v="1"/>
    <x v="0"/>
    <x v="3"/>
    <x v="3"/>
    <x v="11"/>
    <x v="2"/>
  </r>
  <r>
    <s v="TX502045"/>
    <x v="1"/>
    <x v="0"/>
    <n v="52.4"/>
    <n v="52.4"/>
    <d v="2025-03-16T00:00:00"/>
    <d v="2025-03-17T00:00:00"/>
    <x v="1"/>
    <x v="1"/>
    <x v="0"/>
    <x v="0"/>
    <x v="3"/>
    <x v="3"/>
    <x v="11"/>
    <x v="1"/>
  </r>
  <r>
    <s v="TX502046"/>
    <x v="10"/>
    <x v="2"/>
    <n v="48.2"/>
    <n v="144.60000000000002"/>
    <d v="2025-03-16T00:00:00"/>
    <d v="2025-03-17T00:00:00"/>
    <x v="2"/>
    <x v="1"/>
    <x v="2"/>
    <x v="0"/>
    <x v="3"/>
    <x v="3"/>
    <x v="11"/>
    <x v="2"/>
  </r>
  <r>
    <s v="TX502047"/>
    <x v="15"/>
    <x v="0"/>
    <n v="51.6"/>
    <n v="51.6"/>
    <d v="2025-03-16T00:00:00"/>
    <d v="2025-03-20T00:00:00"/>
    <x v="2"/>
    <x v="2"/>
    <x v="1"/>
    <x v="0"/>
    <x v="3"/>
    <x v="5"/>
    <x v="11"/>
    <x v="2"/>
  </r>
  <r>
    <s v="TX502048"/>
    <x v="0"/>
    <x v="12"/>
    <n v="33.700000000000003"/>
    <n v="134.80000000000001"/>
    <d v="2025-03-17T00:00:00"/>
    <d v="2025-03-18T00:00:00"/>
    <x v="1"/>
    <x v="0"/>
    <x v="0"/>
    <x v="0"/>
    <x v="3"/>
    <x v="3"/>
    <x v="11"/>
    <x v="1"/>
  </r>
  <r>
    <s v="TX502049"/>
    <x v="4"/>
    <x v="7"/>
    <n v="36.299999999999997"/>
    <n v="363"/>
    <d v="2025-03-17T00:00:00"/>
    <d v="2025-03-19T00:00:00"/>
    <x v="2"/>
    <x v="4"/>
    <x v="1"/>
    <x v="0"/>
    <x v="3"/>
    <x v="1"/>
    <x v="11"/>
    <x v="2"/>
  </r>
  <r>
    <s v="TX502050"/>
    <x v="8"/>
    <x v="0"/>
    <n v="23.4"/>
    <n v="23.4"/>
    <d v="2025-03-17T00:00:00"/>
    <d v="2025-03-22T00:00:00"/>
    <x v="2"/>
    <x v="1"/>
    <x v="2"/>
    <x v="0"/>
    <x v="3"/>
    <x v="0"/>
    <x v="11"/>
    <x v="2"/>
  </r>
  <r>
    <s v="TX502051"/>
    <x v="15"/>
    <x v="8"/>
    <n v="56.6"/>
    <n v="452.8"/>
    <d v="2025-03-17T00:00:00"/>
    <d v="2025-03-19T00:00:00"/>
    <x v="2"/>
    <x v="1"/>
    <x v="0"/>
    <x v="0"/>
    <x v="3"/>
    <x v="1"/>
    <x v="11"/>
    <x v="2"/>
  </r>
  <r>
    <s v="TX502052"/>
    <x v="15"/>
    <x v="1"/>
    <n v="26.8"/>
    <n v="53.6"/>
    <d v="2025-03-17T00:00:00"/>
    <d v="2025-03-18T00:00:00"/>
    <x v="1"/>
    <x v="0"/>
    <x v="0"/>
    <x v="0"/>
    <x v="4"/>
    <x v="3"/>
    <x v="11"/>
    <x v="1"/>
  </r>
  <r>
    <s v="TX502053"/>
    <x v="0"/>
    <x v="2"/>
    <n v="11.3"/>
    <n v="33.900000000000006"/>
    <d v="2025-03-17T00:00:00"/>
    <d v="2025-03-19T00:00:00"/>
    <x v="1"/>
    <x v="2"/>
    <x v="0"/>
    <x v="0"/>
    <x v="25"/>
    <x v="1"/>
    <x v="11"/>
    <x v="1"/>
  </r>
  <r>
    <s v="TX502054"/>
    <x v="6"/>
    <x v="2"/>
    <n v="60.1"/>
    <n v="180.3"/>
    <d v="2025-03-17T00:00:00"/>
    <d v="2025-03-20T00:00:00"/>
    <x v="2"/>
    <x v="0"/>
    <x v="0"/>
    <x v="0"/>
    <x v="7"/>
    <x v="2"/>
    <x v="11"/>
    <x v="2"/>
  </r>
  <r>
    <s v="TX502055"/>
    <x v="0"/>
    <x v="5"/>
    <n v="27.7"/>
    <n v="304.7"/>
    <d v="2025-03-17T00:00:00"/>
    <d v="2025-03-22T00:00:00"/>
    <x v="2"/>
    <x v="0"/>
    <x v="0"/>
    <x v="0"/>
    <x v="8"/>
    <x v="0"/>
    <x v="11"/>
    <x v="2"/>
  </r>
  <r>
    <s v="TX502056"/>
    <x v="15"/>
    <x v="0"/>
    <n v="71.400000000000006"/>
    <n v="71.400000000000006"/>
    <d v="2025-03-17T00:00:00"/>
    <d v="2025-03-20T00:00:00"/>
    <x v="1"/>
    <x v="0"/>
    <x v="2"/>
    <x v="0"/>
    <x v="8"/>
    <x v="2"/>
    <x v="11"/>
    <x v="1"/>
  </r>
  <r>
    <s v="TX502057"/>
    <x v="2"/>
    <x v="1"/>
    <n v="66.7"/>
    <n v="133.4"/>
    <d v="2025-03-17T00:00:00"/>
    <d v="2025-03-18T00:00:00"/>
    <x v="2"/>
    <x v="0"/>
    <x v="2"/>
    <x v="0"/>
    <x v="8"/>
    <x v="3"/>
    <x v="11"/>
    <x v="2"/>
  </r>
  <r>
    <s v="TX502058"/>
    <x v="13"/>
    <x v="9"/>
    <n v="39.1"/>
    <n v="195.5"/>
    <d v="2025-03-17T00:00:00"/>
    <d v="2025-03-18T00:00:00"/>
    <x v="2"/>
    <x v="0"/>
    <x v="0"/>
    <x v="0"/>
    <x v="8"/>
    <x v="3"/>
    <x v="11"/>
    <x v="2"/>
  </r>
  <r>
    <s v="TX502059"/>
    <x v="8"/>
    <x v="12"/>
    <n v="24.9"/>
    <n v="99.6"/>
    <d v="2025-03-17T00:00:00"/>
    <d v="2025-03-22T00:00:00"/>
    <x v="1"/>
    <x v="1"/>
    <x v="2"/>
    <x v="0"/>
    <x v="8"/>
    <x v="0"/>
    <x v="11"/>
    <x v="1"/>
  </r>
  <r>
    <s v="TX502060"/>
    <x v="5"/>
    <x v="9"/>
    <n v="29.2"/>
    <n v="146"/>
    <d v="2025-03-17T00:00:00"/>
    <d v="2025-03-18T00:00:00"/>
    <x v="1"/>
    <x v="0"/>
    <x v="2"/>
    <x v="0"/>
    <x v="17"/>
    <x v="3"/>
    <x v="11"/>
    <x v="1"/>
  </r>
  <r>
    <s v="TX502061"/>
    <x v="13"/>
    <x v="21"/>
    <n v="28.3"/>
    <n v="396.2"/>
    <d v="2025-03-17T00:00:00"/>
    <d v="2025-03-19T00:00:00"/>
    <x v="2"/>
    <x v="1"/>
    <x v="0"/>
    <x v="0"/>
    <x v="11"/>
    <x v="1"/>
    <x v="11"/>
    <x v="2"/>
  </r>
  <r>
    <s v="TX502062"/>
    <x v="9"/>
    <x v="2"/>
    <n v="37.799999999999997"/>
    <n v="113.39999999999999"/>
    <d v="2025-03-17T00:00:00"/>
    <d v="2025-03-18T00:00:00"/>
    <x v="2"/>
    <x v="0"/>
    <x v="1"/>
    <x v="0"/>
    <x v="11"/>
    <x v="3"/>
    <x v="11"/>
    <x v="2"/>
  </r>
  <r>
    <s v="TX502063"/>
    <x v="14"/>
    <x v="3"/>
    <n v="28.1"/>
    <n v="196.70000000000002"/>
    <d v="2025-03-17T00:00:00"/>
    <d v="2025-03-23T00:00:00"/>
    <x v="2"/>
    <x v="2"/>
    <x v="0"/>
    <x v="0"/>
    <x v="11"/>
    <x v="4"/>
    <x v="11"/>
    <x v="2"/>
  </r>
  <r>
    <s v="TX502064"/>
    <x v="1"/>
    <x v="2"/>
    <n v="59.7"/>
    <n v="179.10000000000002"/>
    <d v="2025-03-17T00:00:00"/>
    <d v="2025-03-19T00:00:00"/>
    <x v="2"/>
    <x v="2"/>
    <x v="0"/>
    <x v="0"/>
    <x v="11"/>
    <x v="1"/>
    <x v="11"/>
    <x v="2"/>
  </r>
  <r>
    <s v="TX502065"/>
    <x v="16"/>
    <x v="0"/>
    <n v="71.900000000000006"/>
    <n v="71.900000000000006"/>
    <d v="2025-03-17T00:00:00"/>
    <d v="2025-03-18T00:00:00"/>
    <x v="1"/>
    <x v="1"/>
    <x v="1"/>
    <x v="0"/>
    <x v="11"/>
    <x v="3"/>
    <x v="11"/>
    <x v="1"/>
  </r>
  <r>
    <s v="TX502066"/>
    <x v="1"/>
    <x v="1"/>
    <n v="56.9"/>
    <n v="113.8"/>
    <d v="2025-03-17T00:00:00"/>
    <d v="2025-03-18T00:00:00"/>
    <x v="1"/>
    <x v="2"/>
    <x v="0"/>
    <x v="0"/>
    <x v="13"/>
    <x v="3"/>
    <x v="11"/>
    <x v="1"/>
  </r>
  <r>
    <s v="TX502067"/>
    <x v="8"/>
    <x v="1"/>
    <n v="15.8"/>
    <n v="31.6"/>
    <d v="2025-03-17T00:00:00"/>
    <d v="2025-03-20T00:00:00"/>
    <x v="2"/>
    <x v="2"/>
    <x v="1"/>
    <x v="0"/>
    <x v="1"/>
    <x v="2"/>
    <x v="11"/>
    <x v="2"/>
  </r>
  <r>
    <s v="TX502068"/>
    <x v="11"/>
    <x v="12"/>
    <n v="61.7"/>
    <n v="246.8"/>
    <d v="2025-03-17T00:00:00"/>
    <d v="2025-03-19T00:00:00"/>
    <x v="2"/>
    <x v="2"/>
    <x v="0"/>
    <x v="0"/>
    <x v="22"/>
    <x v="1"/>
    <x v="11"/>
    <x v="2"/>
  </r>
  <r>
    <s v="TX502069"/>
    <x v="2"/>
    <x v="7"/>
    <n v="105.2"/>
    <n v="1052"/>
    <d v="2025-03-17T00:00:00"/>
    <d v="2025-03-19T00:00:00"/>
    <x v="1"/>
    <x v="1"/>
    <x v="4"/>
    <x v="0"/>
    <x v="3"/>
    <x v="1"/>
    <x v="11"/>
    <x v="1"/>
  </r>
  <r>
    <s v="TX502070"/>
    <x v="0"/>
    <x v="1"/>
    <n v="17"/>
    <n v="34"/>
    <d v="2025-03-17T00:00:00"/>
    <d v="2025-03-19T00:00:00"/>
    <x v="2"/>
    <x v="2"/>
    <x v="0"/>
    <x v="0"/>
    <x v="3"/>
    <x v="1"/>
    <x v="11"/>
    <x v="2"/>
  </r>
  <r>
    <s v="TX502071"/>
    <x v="6"/>
    <x v="2"/>
    <n v="84.1"/>
    <n v="252.29999999999998"/>
    <d v="2025-03-17T00:00:00"/>
    <d v="2025-03-18T00:00:00"/>
    <x v="1"/>
    <x v="2"/>
    <x v="0"/>
    <x v="0"/>
    <x v="3"/>
    <x v="3"/>
    <x v="11"/>
    <x v="1"/>
  </r>
  <r>
    <s v="TX502072"/>
    <x v="3"/>
    <x v="12"/>
    <n v="59.5"/>
    <n v="238"/>
    <d v="2025-03-17T00:00:00"/>
    <d v="2025-03-22T00:00:00"/>
    <x v="1"/>
    <x v="0"/>
    <x v="2"/>
    <x v="0"/>
    <x v="3"/>
    <x v="0"/>
    <x v="11"/>
    <x v="1"/>
  </r>
  <r>
    <s v="TX502073"/>
    <x v="8"/>
    <x v="1"/>
    <n v="57.5"/>
    <n v="115"/>
    <d v="2025-03-17T00:00:00"/>
    <d v="2025-03-19T00:00:00"/>
    <x v="1"/>
    <x v="1"/>
    <x v="2"/>
    <x v="0"/>
    <x v="3"/>
    <x v="1"/>
    <x v="11"/>
    <x v="1"/>
  </r>
  <r>
    <s v="TX502074"/>
    <x v="8"/>
    <x v="0"/>
    <n v="34.299999999999997"/>
    <n v="34.299999999999997"/>
    <d v="2025-03-17T00:00:00"/>
    <d v="2025-03-18T00:00:00"/>
    <x v="2"/>
    <x v="4"/>
    <x v="2"/>
    <x v="0"/>
    <x v="3"/>
    <x v="3"/>
    <x v="11"/>
    <x v="2"/>
  </r>
  <r>
    <s v="TX502075"/>
    <x v="5"/>
    <x v="1"/>
    <n v="27.8"/>
    <n v="55.6"/>
    <d v="2025-03-18T00:00:00"/>
    <d v="2025-03-20T00:00:00"/>
    <x v="2"/>
    <x v="0"/>
    <x v="0"/>
    <x v="0"/>
    <x v="3"/>
    <x v="1"/>
    <x v="11"/>
    <x v="2"/>
  </r>
  <r>
    <s v="TX502076"/>
    <x v="12"/>
    <x v="1"/>
    <n v="85"/>
    <n v="170"/>
    <d v="2025-03-18T00:00:00"/>
    <d v="2025-03-18T00:00:00"/>
    <x v="1"/>
    <x v="2"/>
    <x v="2"/>
    <x v="0"/>
    <x v="3"/>
    <x v="7"/>
    <x v="11"/>
    <x v="1"/>
  </r>
  <r>
    <s v="TX502077"/>
    <x v="6"/>
    <x v="1"/>
    <n v="95"/>
    <n v="190"/>
    <d v="2025-03-18T00:00:00"/>
    <d v="2025-03-20T00:00:00"/>
    <x v="2"/>
    <x v="0"/>
    <x v="0"/>
    <x v="0"/>
    <x v="3"/>
    <x v="1"/>
    <x v="11"/>
    <x v="2"/>
  </r>
  <r>
    <s v="TX502078"/>
    <x v="16"/>
    <x v="1"/>
    <n v="32"/>
    <n v="64"/>
    <d v="2025-03-18T00:00:00"/>
    <d v="2025-03-20T00:00:00"/>
    <x v="1"/>
    <x v="0"/>
    <x v="1"/>
    <x v="0"/>
    <x v="3"/>
    <x v="1"/>
    <x v="11"/>
    <x v="1"/>
  </r>
  <r>
    <s v="TX502079"/>
    <x v="2"/>
    <x v="1"/>
    <n v="65.2"/>
    <n v="130.4"/>
    <d v="2025-03-18T00:00:00"/>
    <d v="2025-03-19T00:00:00"/>
    <x v="2"/>
    <x v="1"/>
    <x v="0"/>
    <x v="0"/>
    <x v="3"/>
    <x v="3"/>
    <x v="11"/>
    <x v="2"/>
  </r>
  <r>
    <s v="TX502080"/>
    <x v="17"/>
    <x v="12"/>
    <n v="22"/>
    <n v="88"/>
    <d v="2025-03-18T00:00:00"/>
    <d v="2025-03-19T00:00:00"/>
    <x v="1"/>
    <x v="1"/>
    <x v="2"/>
    <x v="0"/>
    <x v="3"/>
    <x v="3"/>
    <x v="11"/>
    <x v="1"/>
  </r>
  <r>
    <s v="TX502081"/>
    <x v="15"/>
    <x v="2"/>
    <n v="69.400000000000006"/>
    <n v="208.20000000000002"/>
    <d v="2025-03-18T00:00:00"/>
    <d v="2025-03-21T00:00:00"/>
    <x v="1"/>
    <x v="1"/>
    <x v="2"/>
    <x v="0"/>
    <x v="3"/>
    <x v="2"/>
    <x v="11"/>
    <x v="1"/>
  </r>
  <r>
    <s v="TX502082"/>
    <x v="10"/>
    <x v="13"/>
    <n v="31.5"/>
    <n v="189"/>
    <d v="2025-03-18T00:00:00"/>
    <d v="2025-03-20T00:00:00"/>
    <x v="2"/>
    <x v="0"/>
    <x v="2"/>
    <x v="0"/>
    <x v="3"/>
    <x v="1"/>
    <x v="11"/>
    <x v="2"/>
  </r>
  <r>
    <s v="TX502083"/>
    <x v="6"/>
    <x v="0"/>
    <n v="45.8"/>
    <n v="45.8"/>
    <d v="2025-03-18T00:00:00"/>
    <d v="2025-03-22T00:00:00"/>
    <x v="3"/>
    <x v="0"/>
    <x v="0"/>
    <x v="0"/>
    <x v="3"/>
    <x v="5"/>
    <x v="11"/>
    <x v="3"/>
  </r>
  <r>
    <s v="TX502084"/>
    <x v="19"/>
    <x v="12"/>
    <n v="12.8"/>
    <n v="51.2"/>
    <d v="2025-03-18T00:00:00"/>
    <d v="2025-03-25T00:00:00"/>
    <x v="2"/>
    <x v="1"/>
    <x v="1"/>
    <x v="0"/>
    <x v="5"/>
    <x v="6"/>
    <x v="11"/>
    <x v="2"/>
  </r>
  <r>
    <s v="TX502085"/>
    <x v="5"/>
    <x v="2"/>
    <n v="115.3"/>
    <n v="345.9"/>
    <d v="2025-03-18T00:00:00"/>
    <d v="2025-03-19T00:00:00"/>
    <x v="2"/>
    <x v="2"/>
    <x v="2"/>
    <x v="0"/>
    <x v="6"/>
    <x v="3"/>
    <x v="11"/>
    <x v="2"/>
  </r>
  <r>
    <s v="TX502086"/>
    <x v="5"/>
    <x v="1"/>
    <n v="85"/>
    <n v="170"/>
    <d v="2025-03-18T00:00:00"/>
    <d v="2025-03-20T00:00:00"/>
    <x v="2"/>
    <x v="1"/>
    <x v="0"/>
    <x v="0"/>
    <x v="7"/>
    <x v="1"/>
    <x v="11"/>
    <x v="2"/>
  </r>
  <r>
    <s v="TX502087"/>
    <x v="8"/>
    <x v="2"/>
    <n v="56.6"/>
    <n v="169.8"/>
    <d v="2025-03-18T00:00:00"/>
    <d v="2025-03-19T00:00:00"/>
    <x v="2"/>
    <x v="1"/>
    <x v="2"/>
    <x v="0"/>
    <x v="7"/>
    <x v="3"/>
    <x v="11"/>
    <x v="2"/>
  </r>
  <r>
    <s v="TX502088"/>
    <x v="15"/>
    <x v="6"/>
    <n v="46.3"/>
    <n v="1250.0999999999999"/>
    <d v="2025-03-18T00:00:00"/>
    <d v="2025-03-21T00:00:00"/>
    <x v="1"/>
    <x v="0"/>
    <x v="0"/>
    <x v="0"/>
    <x v="7"/>
    <x v="2"/>
    <x v="11"/>
    <x v="1"/>
  </r>
  <r>
    <s v="TX502089"/>
    <x v="14"/>
    <x v="12"/>
    <n v="23"/>
    <n v="92"/>
    <d v="2025-03-18T00:00:00"/>
    <d v="2025-03-22T00:00:00"/>
    <x v="1"/>
    <x v="3"/>
    <x v="2"/>
    <x v="0"/>
    <x v="7"/>
    <x v="5"/>
    <x v="11"/>
    <x v="1"/>
  </r>
  <r>
    <s v="TX502090"/>
    <x v="8"/>
    <x v="13"/>
    <n v="42.1"/>
    <n v="252.60000000000002"/>
    <d v="2025-03-18T00:00:00"/>
    <d v="2025-03-20T00:00:00"/>
    <x v="1"/>
    <x v="4"/>
    <x v="0"/>
    <x v="0"/>
    <x v="8"/>
    <x v="1"/>
    <x v="11"/>
    <x v="1"/>
  </r>
  <r>
    <s v="TX502091"/>
    <x v="5"/>
    <x v="3"/>
    <n v="57.4"/>
    <n v="401.8"/>
    <d v="2025-03-18T00:00:00"/>
    <d v="2025-03-22T00:00:00"/>
    <x v="2"/>
    <x v="1"/>
    <x v="4"/>
    <x v="0"/>
    <x v="8"/>
    <x v="5"/>
    <x v="11"/>
    <x v="2"/>
  </r>
  <r>
    <s v="TX502092"/>
    <x v="0"/>
    <x v="13"/>
    <n v="13.2"/>
    <n v="79.199999999999989"/>
    <d v="2025-03-18T00:00:00"/>
    <d v="2025-03-22T00:00:00"/>
    <x v="1"/>
    <x v="2"/>
    <x v="0"/>
    <x v="0"/>
    <x v="8"/>
    <x v="5"/>
    <x v="11"/>
    <x v="1"/>
  </r>
  <r>
    <s v="TX502093"/>
    <x v="6"/>
    <x v="2"/>
    <n v="52.3"/>
    <n v="156.89999999999998"/>
    <d v="2025-03-18T00:00:00"/>
    <d v="2025-03-19T00:00:00"/>
    <x v="1"/>
    <x v="1"/>
    <x v="0"/>
    <x v="0"/>
    <x v="8"/>
    <x v="3"/>
    <x v="11"/>
    <x v="1"/>
  </r>
  <r>
    <s v="TX502094"/>
    <x v="8"/>
    <x v="1"/>
    <n v="15.7"/>
    <n v="31.4"/>
    <d v="2025-03-18T00:00:00"/>
    <d v="2025-03-21T00:00:00"/>
    <x v="1"/>
    <x v="1"/>
    <x v="2"/>
    <x v="0"/>
    <x v="8"/>
    <x v="2"/>
    <x v="11"/>
    <x v="1"/>
  </r>
  <r>
    <s v="TX502095"/>
    <x v="7"/>
    <x v="2"/>
    <n v="35"/>
    <n v="105"/>
    <d v="2025-03-18T00:00:00"/>
    <d v="2025-03-21T00:00:00"/>
    <x v="2"/>
    <x v="1"/>
    <x v="2"/>
    <x v="0"/>
    <x v="9"/>
    <x v="2"/>
    <x v="11"/>
    <x v="2"/>
  </r>
  <r>
    <s v="TX502096"/>
    <x v="4"/>
    <x v="2"/>
    <n v="26.6"/>
    <n v="79.800000000000011"/>
    <d v="2025-03-18T00:00:00"/>
    <d v="2025-03-18T00:00:00"/>
    <x v="1"/>
    <x v="1"/>
    <x v="2"/>
    <x v="0"/>
    <x v="11"/>
    <x v="7"/>
    <x v="11"/>
    <x v="1"/>
  </r>
  <r>
    <s v="TX502097"/>
    <x v="4"/>
    <x v="8"/>
    <n v="47.9"/>
    <n v="383.2"/>
    <d v="2025-03-19T00:00:00"/>
    <d v="2025-03-20T00:00:00"/>
    <x v="2"/>
    <x v="3"/>
    <x v="2"/>
    <x v="0"/>
    <x v="20"/>
    <x v="3"/>
    <x v="11"/>
    <x v="2"/>
  </r>
  <r>
    <s v="TX502098"/>
    <x v="5"/>
    <x v="0"/>
    <n v="80.099999999999994"/>
    <n v="80.099999999999994"/>
    <d v="2025-03-19T00:00:00"/>
    <d v="2025-03-20T00:00:00"/>
    <x v="1"/>
    <x v="2"/>
    <x v="0"/>
    <x v="0"/>
    <x v="21"/>
    <x v="3"/>
    <x v="11"/>
    <x v="1"/>
  </r>
  <r>
    <s v="TX502099"/>
    <x v="6"/>
    <x v="9"/>
    <n v="50.4"/>
    <n v="252"/>
    <d v="2025-03-19T00:00:00"/>
    <d v="2025-03-20T00:00:00"/>
    <x v="1"/>
    <x v="1"/>
    <x v="2"/>
    <x v="0"/>
    <x v="21"/>
    <x v="3"/>
    <x v="11"/>
    <x v="1"/>
  </r>
  <r>
    <s v="TX502100"/>
    <x v="10"/>
    <x v="3"/>
    <n v="43.3"/>
    <n v="303.09999999999997"/>
    <d v="2025-03-19T00:00:00"/>
    <d v="2025-03-20T00:00:00"/>
    <x v="1"/>
    <x v="2"/>
    <x v="0"/>
    <x v="0"/>
    <x v="21"/>
    <x v="3"/>
    <x v="11"/>
    <x v="1"/>
  </r>
  <r>
    <s v="TX502101"/>
    <x v="10"/>
    <x v="12"/>
    <n v="57.5"/>
    <n v="230"/>
    <d v="2025-03-19T00:00:00"/>
    <d v="2025-03-20T00:00:00"/>
    <x v="2"/>
    <x v="1"/>
    <x v="2"/>
    <x v="0"/>
    <x v="1"/>
    <x v="3"/>
    <x v="11"/>
    <x v="2"/>
  </r>
  <r>
    <s v="TX502102"/>
    <x v="9"/>
    <x v="15"/>
    <n v="24.8"/>
    <n v="322.40000000000003"/>
    <d v="2025-03-19T00:00:00"/>
    <d v="2025-03-20T00:00:00"/>
    <x v="1"/>
    <x v="0"/>
    <x v="0"/>
    <x v="0"/>
    <x v="57"/>
    <x v="3"/>
    <x v="11"/>
    <x v="1"/>
  </r>
  <r>
    <s v="TX502103"/>
    <x v="2"/>
    <x v="11"/>
    <n v="85.7"/>
    <n v="771.30000000000007"/>
    <d v="2025-03-19T00:00:00"/>
    <d v="2025-03-20T00:00:00"/>
    <x v="2"/>
    <x v="0"/>
    <x v="0"/>
    <x v="0"/>
    <x v="42"/>
    <x v="3"/>
    <x v="11"/>
    <x v="2"/>
  </r>
  <r>
    <s v="TX502104"/>
    <x v="7"/>
    <x v="0"/>
    <n v="47.1"/>
    <n v="47.1"/>
    <d v="2025-03-19T00:00:00"/>
    <d v="2025-03-21T00:00:00"/>
    <x v="2"/>
    <x v="0"/>
    <x v="0"/>
    <x v="0"/>
    <x v="2"/>
    <x v="1"/>
    <x v="11"/>
    <x v="2"/>
  </r>
  <r>
    <s v="TX502105"/>
    <x v="5"/>
    <x v="7"/>
    <n v="83.2"/>
    <n v="832"/>
    <d v="2025-03-19T00:00:00"/>
    <d v="2025-03-23T00:00:00"/>
    <x v="2"/>
    <x v="0"/>
    <x v="0"/>
    <x v="0"/>
    <x v="33"/>
    <x v="5"/>
    <x v="11"/>
    <x v="2"/>
  </r>
  <r>
    <s v="TX502106"/>
    <x v="2"/>
    <x v="2"/>
    <n v="157"/>
    <n v="471"/>
    <d v="2025-03-19T00:00:00"/>
    <d v="2025-03-21T00:00:00"/>
    <x v="2"/>
    <x v="0"/>
    <x v="2"/>
    <x v="0"/>
    <x v="22"/>
    <x v="1"/>
    <x v="11"/>
    <x v="2"/>
  </r>
  <r>
    <s v="TX502107"/>
    <x v="16"/>
    <x v="12"/>
    <n v="33.700000000000003"/>
    <n v="134.80000000000001"/>
    <d v="2025-03-19T00:00:00"/>
    <d v="2025-03-20T00:00:00"/>
    <x v="1"/>
    <x v="2"/>
    <x v="2"/>
    <x v="0"/>
    <x v="22"/>
    <x v="3"/>
    <x v="11"/>
    <x v="1"/>
  </r>
  <r>
    <s v="TX502108"/>
    <x v="2"/>
    <x v="2"/>
    <n v="60.8"/>
    <n v="182.39999999999998"/>
    <d v="2025-03-19T00:00:00"/>
    <d v="2025-03-23T00:00:00"/>
    <x v="2"/>
    <x v="1"/>
    <x v="1"/>
    <x v="0"/>
    <x v="3"/>
    <x v="5"/>
    <x v="11"/>
    <x v="2"/>
  </r>
  <r>
    <s v="TX502109"/>
    <x v="7"/>
    <x v="0"/>
    <n v="57.6"/>
    <n v="57.6"/>
    <d v="2025-03-19T00:00:00"/>
    <d v="2025-03-20T00:00:00"/>
    <x v="1"/>
    <x v="1"/>
    <x v="4"/>
    <x v="0"/>
    <x v="3"/>
    <x v="3"/>
    <x v="11"/>
    <x v="1"/>
  </r>
  <r>
    <s v="TX502110"/>
    <x v="10"/>
    <x v="0"/>
    <n v="32"/>
    <n v="32"/>
    <d v="2025-03-19T00:00:00"/>
    <d v="2025-03-21T00:00:00"/>
    <x v="1"/>
    <x v="0"/>
    <x v="0"/>
    <x v="0"/>
    <x v="3"/>
    <x v="1"/>
    <x v="11"/>
    <x v="1"/>
  </r>
  <r>
    <s v="TX502111"/>
    <x v="10"/>
    <x v="12"/>
    <n v="23.5"/>
    <n v="94"/>
    <d v="2025-03-19T00:00:00"/>
    <d v="2025-03-20T00:00:00"/>
    <x v="2"/>
    <x v="0"/>
    <x v="2"/>
    <x v="0"/>
    <x v="3"/>
    <x v="3"/>
    <x v="11"/>
    <x v="2"/>
  </r>
  <r>
    <s v="TX502112"/>
    <x v="12"/>
    <x v="2"/>
    <n v="44.8"/>
    <n v="134.39999999999998"/>
    <d v="2025-03-19T00:00:00"/>
    <d v="2025-03-20T00:00:00"/>
    <x v="3"/>
    <x v="4"/>
    <x v="0"/>
    <x v="0"/>
    <x v="3"/>
    <x v="3"/>
    <x v="11"/>
    <x v="3"/>
  </r>
  <r>
    <s v="TX502113"/>
    <x v="0"/>
    <x v="8"/>
    <n v="11.7"/>
    <n v="93.6"/>
    <d v="2025-03-19T00:00:00"/>
    <d v="2025-03-20T00:00:00"/>
    <x v="1"/>
    <x v="2"/>
    <x v="2"/>
    <x v="0"/>
    <x v="3"/>
    <x v="3"/>
    <x v="11"/>
    <x v="1"/>
  </r>
  <r>
    <s v="TX502114"/>
    <x v="7"/>
    <x v="1"/>
    <n v="38.799999999999997"/>
    <n v="77.599999999999994"/>
    <d v="2025-03-19T00:00:00"/>
    <d v="2025-03-22T00:00:00"/>
    <x v="2"/>
    <x v="2"/>
    <x v="0"/>
    <x v="0"/>
    <x v="3"/>
    <x v="2"/>
    <x v="11"/>
    <x v="2"/>
  </r>
  <r>
    <s v="TX502115"/>
    <x v="5"/>
    <x v="21"/>
    <n v="86.9"/>
    <n v="1216.6000000000001"/>
    <d v="2025-03-19T00:00:00"/>
    <d v="2025-03-24T00:00:00"/>
    <x v="2"/>
    <x v="1"/>
    <x v="0"/>
    <x v="0"/>
    <x v="3"/>
    <x v="0"/>
    <x v="11"/>
    <x v="2"/>
  </r>
  <r>
    <s v="TX502116"/>
    <x v="8"/>
    <x v="0"/>
    <n v="18.3"/>
    <n v="18.3"/>
    <d v="2025-03-19T00:00:00"/>
    <d v="2025-03-20T00:00:00"/>
    <x v="2"/>
    <x v="0"/>
    <x v="0"/>
    <x v="0"/>
    <x v="3"/>
    <x v="3"/>
    <x v="11"/>
    <x v="2"/>
  </r>
  <r>
    <s v="TX502117"/>
    <x v="5"/>
    <x v="0"/>
    <n v="47.5"/>
    <n v="47.5"/>
    <d v="2025-03-19T00:00:00"/>
    <d v="2025-03-23T00:00:00"/>
    <x v="1"/>
    <x v="4"/>
    <x v="2"/>
    <x v="0"/>
    <x v="3"/>
    <x v="5"/>
    <x v="11"/>
    <x v="1"/>
  </r>
  <r>
    <s v="TX502118"/>
    <x v="1"/>
    <x v="1"/>
    <n v="78.599999999999994"/>
    <n v="157.19999999999999"/>
    <d v="2025-03-19T00:00:00"/>
    <d v="2025-03-20T00:00:00"/>
    <x v="1"/>
    <x v="2"/>
    <x v="2"/>
    <x v="0"/>
    <x v="3"/>
    <x v="3"/>
    <x v="11"/>
    <x v="1"/>
  </r>
  <r>
    <s v="TX502119"/>
    <x v="6"/>
    <x v="12"/>
    <n v="87.3"/>
    <n v="349.2"/>
    <d v="2025-03-19T00:00:00"/>
    <d v="2025-03-20T00:00:00"/>
    <x v="1"/>
    <x v="0"/>
    <x v="0"/>
    <x v="0"/>
    <x v="3"/>
    <x v="3"/>
    <x v="11"/>
    <x v="1"/>
  </r>
  <r>
    <s v="TX502120"/>
    <x v="9"/>
    <x v="1"/>
    <n v="63.2"/>
    <n v="126.4"/>
    <d v="2025-03-19T00:00:00"/>
    <d v="2025-03-19T00:00:00"/>
    <x v="1"/>
    <x v="4"/>
    <x v="1"/>
    <x v="0"/>
    <x v="3"/>
    <x v="7"/>
    <x v="11"/>
    <x v="1"/>
  </r>
  <r>
    <s v="TX502121"/>
    <x v="5"/>
    <x v="9"/>
    <n v="33.700000000000003"/>
    <n v="168.5"/>
    <d v="2025-03-19T00:00:00"/>
    <d v="2025-03-20T00:00:00"/>
    <x v="2"/>
    <x v="0"/>
    <x v="0"/>
    <x v="0"/>
    <x v="3"/>
    <x v="3"/>
    <x v="11"/>
    <x v="2"/>
  </r>
  <r>
    <s v="TX502122"/>
    <x v="2"/>
    <x v="2"/>
    <n v="107.4"/>
    <n v="322.20000000000005"/>
    <d v="2025-03-19T00:00:00"/>
    <d v="2025-04-01T00:00:00"/>
    <x v="2"/>
    <x v="1"/>
    <x v="2"/>
    <x v="0"/>
    <x v="3"/>
    <x v="10"/>
    <x v="11"/>
    <x v="2"/>
  </r>
  <r>
    <s v="TX502123"/>
    <x v="4"/>
    <x v="12"/>
    <n v="22.2"/>
    <n v="88.8"/>
    <d v="2025-03-19T00:00:00"/>
    <d v="2025-03-20T00:00:00"/>
    <x v="0"/>
    <x v="1"/>
    <x v="2"/>
    <x v="0"/>
    <x v="24"/>
    <x v="3"/>
    <x v="11"/>
    <x v="0"/>
  </r>
  <r>
    <s v="TX502124"/>
    <x v="18"/>
    <x v="2"/>
    <n v="52.8"/>
    <n v="158.39999999999998"/>
    <d v="2025-03-19T00:00:00"/>
    <d v="2025-03-20T00:00:00"/>
    <x v="1"/>
    <x v="3"/>
    <x v="2"/>
    <x v="0"/>
    <x v="24"/>
    <x v="3"/>
    <x v="11"/>
    <x v="1"/>
  </r>
  <r>
    <s v="TX502125"/>
    <x v="8"/>
    <x v="2"/>
    <n v="41.5"/>
    <n v="124.5"/>
    <d v="2025-03-19T00:00:00"/>
    <d v="2025-03-22T00:00:00"/>
    <x v="2"/>
    <x v="0"/>
    <x v="0"/>
    <x v="0"/>
    <x v="25"/>
    <x v="2"/>
    <x v="11"/>
    <x v="2"/>
  </r>
  <r>
    <s v="TX502126"/>
    <x v="12"/>
    <x v="8"/>
    <n v="103.5"/>
    <n v="828"/>
    <d v="2025-03-19T00:00:00"/>
    <d v="2025-03-22T00:00:00"/>
    <x v="2"/>
    <x v="0"/>
    <x v="2"/>
    <x v="0"/>
    <x v="23"/>
    <x v="2"/>
    <x v="11"/>
    <x v="2"/>
  </r>
  <r>
    <s v="TX502127"/>
    <x v="4"/>
    <x v="21"/>
    <n v="37.5"/>
    <n v="525"/>
    <d v="2025-03-19T00:00:00"/>
    <d v="2025-03-19T00:00:00"/>
    <x v="2"/>
    <x v="1"/>
    <x v="2"/>
    <x v="0"/>
    <x v="6"/>
    <x v="7"/>
    <x v="11"/>
    <x v="2"/>
  </r>
  <r>
    <s v="TX502128"/>
    <x v="15"/>
    <x v="8"/>
    <n v="44.4"/>
    <n v="355.2"/>
    <d v="2025-03-19T00:00:00"/>
    <d v="2025-03-25T00:00:00"/>
    <x v="2"/>
    <x v="3"/>
    <x v="2"/>
    <x v="0"/>
    <x v="7"/>
    <x v="4"/>
    <x v="11"/>
    <x v="2"/>
  </r>
  <r>
    <s v="TX502129"/>
    <x v="8"/>
    <x v="2"/>
    <n v="26.2"/>
    <n v="78.599999999999994"/>
    <d v="2025-03-19T00:00:00"/>
    <d v="2025-03-20T00:00:00"/>
    <x v="1"/>
    <x v="0"/>
    <x v="0"/>
    <x v="0"/>
    <x v="8"/>
    <x v="3"/>
    <x v="11"/>
    <x v="1"/>
  </r>
  <r>
    <s v="TX502130"/>
    <x v="1"/>
    <x v="3"/>
    <n v="32.200000000000003"/>
    <n v="225.40000000000003"/>
    <d v="2025-03-19T00:00:00"/>
    <d v="2025-03-20T00:00:00"/>
    <x v="2"/>
    <x v="1"/>
    <x v="2"/>
    <x v="0"/>
    <x v="8"/>
    <x v="3"/>
    <x v="11"/>
    <x v="2"/>
  </r>
  <r>
    <s v="TX502131"/>
    <x v="8"/>
    <x v="0"/>
    <n v="17.399999999999999"/>
    <n v="17.399999999999999"/>
    <d v="2025-03-19T00:00:00"/>
    <d v="2025-03-23T00:00:00"/>
    <x v="0"/>
    <x v="2"/>
    <x v="1"/>
    <x v="0"/>
    <x v="8"/>
    <x v="5"/>
    <x v="11"/>
    <x v="0"/>
  </r>
  <r>
    <s v="TX502132"/>
    <x v="8"/>
    <x v="13"/>
    <n v="72.3"/>
    <n v="433.79999999999995"/>
    <d v="2025-03-19T00:00:00"/>
    <d v="2025-03-22T00:00:00"/>
    <x v="2"/>
    <x v="0"/>
    <x v="0"/>
    <x v="0"/>
    <x v="8"/>
    <x v="2"/>
    <x v="11"/>
    <x v="2"/>
  </r>
  <r>
    <s v="TX502133"/>
    <x v="8"/>
    <x v="5"/>
    <n v="24.3"/>
    <n v="267.3"/>
    <d v="2025-03-19T00:00:00"/>
    <d v="2025-03-20T00:00:00"/>
    <x v="1"/>
    <x v="0"/>
    <x v="0"/>
    <x v="0"/>
    <x v="8"/>
    <x v="3"/>
    <x v="11"/>
    <x v="1"/>
  </r>
  <r>
    <s v="TX502134"/>
    <x v="13"/>
    <x v="2"/>
    <n v="49.1"/>
    <n v="147.30000000000001"/>
    <d v="2025-03-19T00:00:00"/>
    <d v="2025-03-25T00:00:00"/>
    <x v="1"/>
    <x v="2"/>
    <x v="4"/>
    <x v="0"/>
    <x v="8"/>
    <x v="4"/>
    <x v="11"/>
    <x v="1"/>
  </r>
  <r>
    <s v="TX502135"/>
    <x v="2"/>
    <x v="7"/>
    <n v="234.7"/>
    <n v="2347"/>
    <d v="2025-03-19T00:00:00"/>
    <d v="2025-03-20T00:00:00"/>
    <x v="1"/>
    <x v="3"/>
    <x v="1"/>
    <x v="0"/>
    <x v="8"/>
    <x v="3"/>
    <x v="11"/>
    <x v="1"/>
  </r>
  <r>
    <s v="TX502136"/>
    <x v="3"/>
    <x v="9"/>
    <n v="76.099999999999994"/>
    <n v="380.5"/>
    <d v="2025-03-19T00:00:00"/>
    <d v="2025-03-21T00:00:00"/>
    <x v="1"/>
    <x v="1"/>
    <x v="1"/>
    <x v="0"/>
    <x v="17"/>
    <x v="1"/>
    <x v="11"/>
    <x v="1"/>
  </r>
  <r>
    <s v="TX502137"/>
    <x v="1"/>
    <x v="2"/>
    <n v="93.9"/>
    <n v="281.70000000000005"/>
    <d v="2025-03-19T00:00:00"/>
    <d v="2025-03-20T00:00:00"/>
    <x v="1"/>
    <x v="1"/>
    <x v="4"/>
    <x v="0"/>
    <x v="11"/>
    <x v="3"/>
    <x v="11"/>
    <x v="1"/>
  </r>
  <r>
    <s v="TX502138"/>
    <x v="2"/>
    <x v="12"/>
    <n v="187"/>
    <n v="748"/>
    <d v="2025-03-20T00:00:00"/>
    <d v="2025-03-23T00:00:00"/>
    <x v="1"/>
    <x v="0"/>
    <x v="0"/>
    <x v="0"/>
    <x v="11"/>
    <x v="2"/>
    <x v="11"/>
    <x v="1"/>
  </r>
  <r>
    <s v="TX502139"/>
    <x v="8"/>
    <x v="1"/>
    <n v="18"/>
    <n v="36"/>
    <d v="2025-03-20T00:00:00"/>
    <d v="2025-03-21T00:00:00"/>
    <x v="2"/>
    <x v="1"/>
    <x v="2"/>
    <x v="0"/>
    <x v="53"/>
    <x v="3"/>
    <x v="11"/>
    <x v="2"/>
  </r>
  <r>
    <s v="TX502140"/>
    <x v="4"/>
    <x v="0"/>
    <n v="24.4"/>
    <n v="24.4"/>
    <d v="2025-03-20T00:00:00"/>
    <d v="2025-03-21T00:00:00"/>
    <x v="2"/>
    <x v="4"/>
    <x v="2"/>
    <x v="0"/>
    <x v="21"/>
    <x v="3"/>
    <x v="11"/>
    <x v="2"/>
  </r>
  <r>
    <s v="TX502141"/>
    <x v="10"/>
    <x v="1"/>
    <n v="38.799999999999997"/>
    <n v="77.599999999999994"/>
    <d v="2025-03-20T00:00:00"/>
    <d v="2025-03-21T00:00:00"/>
    <x v="1"/>
    <x v="4"/>
    <x v="1"/>
    <x v="0"/>
    <x v="3"/>
    <x v="3"/>
    <x v="11"/>
    <x v="1"/>
  </r>
  <r>
    <s v="TX502142"/>
    <x v="3"/>
    <x v="0"/>
    <n v="59.7"/>
    <n v="59.7"/>
    <d v="2025-03-20T00:00:00"/>
    <d v="2025-03-23T00:00:00"/>
    <x v="1"/>
    <x v="3"/>
    <x v="0"/>
    <x v="0"/>
    <x v="3"/>
    <x v="2"/>
    <x v="11"/>
    <x v="1"/>
  </r>
  <r>
    <s v="TX502143"/>
    <x v="7"/>
    <x v="0"/>
    <n v="31.2"/>
    <n v="31.2"/>
    <d v="2025-03-20T00:00:00"/>
    <d v="2025-03-21T00:00:00"/>
    <x v="1"/>
    <x v="1"/>
    <x v="2"/>
    <x v="0"/>
    <x v="3"/>
    <x v="3"/>
    <x v="11"/>
    <x v="1"/>
  </r>
  <r>
    <s v="TX502144"/>
    <x v="0"/>
    <x v="0"/>
    <n v="16.8"/>
    <n v="16.8"/>
    <d v="2025-03-20T00:00:00"/>
    <d v="2025-03-21T00:00:00"/>
    <x v="2"/>
    <x v="2"/>
    <x v="1"/>
    <x v="0"/>
    <x v="3"/>
    <x v="3"/>
    <x v="11"/>
    <x v="2"/>
  </r>
  <r>
    <s v="TX502145"/>
    <x v="8"/>
    <x v="0"/>
    <n v="46"/>
    <n v="46"/>
    <d v="2025-03-20T00:00:00"/>
    <d v="2025-03-21T00:00:00"/>
    <x v="1"/>
    <x v="0"/>
    <x v="0"/>
    <x v="0"/>
    <x v="3"/>
    <x v="3"/>
    <x v="11"/>
    <x v="1"/>
  </r>
  <r>
    <s v="TX502146"/>
    <x v="9"/>
    <x v="8"/>
    <n v="42.2"/>
    <n v="337.6"/>
    <d v="2025-03-20T00:00:00"/>
    <d v="2025-03-23T00:00:00"/>
    <x v="2"/>
    <x v="3"/>
    <x v="2"/>
    <x v="0"/>
    <x v="3"/>
    <x v="2"/>
    <x v="11"/>
    <x v="2"/>
  </r>
  <r>
    <s v="TX502147"/>
    <x v="1"/>
    <x v="2"/>
    <n v="71.5"/>
    <n v="214.5"/>
    <d v="2025-03-20T00:00:00"/>
    <d v="2025-04-03T00:00:00"/>
    <x v="2"/>
    <x v="0"/>
    <x v="0"/>
    <x v="0"/>
    <x v="3"/>
    <x v="12"/>
    <x v="11"/>
    <x v="2"/>
  </r>
  <r>
    <s v="TX502148"/>
    <x v="1"/>
    <x v="1"/>
    <n v="76.599999999999994"/>
    <n v="153.19999999999999"/>
    <d v="2025-03-20T00:00:00"/>
    <d v="2025-03-20T00:00:00"/>
    <x v="1"/>
    <x v="0"/>
    <x v="2"/>
    <x v="0"/>
    <x v="3"/>
    <x v="7"/>
    <x v="11"/>
    <x v="1"/>
  </r>
  <r>
    <s v="TX502149"/>
    <x v="12"/>
    <x v="1"/>
    <n v="87.3"/>
    <n v="174.6"/>
    <d v="2025-03-20T00:00:00"/>
    <d v="2025-03-28T00:00:00"/>
    <x v="2"/>
    <x v="3"/>
    <x v="2"/>
    <x v="0"/>
    <x v="3"/>
    <x v="9"/>
    <x v="11"/>
    <x v="2"/>
  </r>
  <r>
    <s v="TX502150"/>
    <x v="1"/>
    <x v="0"/>
    <n v="63"/>
    <n v="63"/>
    <d v="2025-03-20T00:00:00"/>
    <d v="2025-03-23T00:00:00"/>
    <x v="1"/>
    <x v="3"/>
    <x v="0"/>
    <x v="0"/>
    <x v="3"/>
    <x v="2"/>
    <x v="11"/>
    <x v="1"/>
  </r>
  <r>
    <s v="TX502151"/>
    <x v="8"/>
    <x v="1"/>
    <n v="41.7"/>
    <n v="83.4"/>
    <d v="2025-03-20T00:00:00"/>
    <d v="2025-03-21T00:00:00"/>
    <x v="2"/>
    <x v="4"/>
    <x v="1"/>
    <x v="0"/>
    <x v="43"/>
    <x v="3"/>
    <x v="11"/>
    <x v="2"/>
  </r>
  <r>
    <s v="TX502152"/>
    <x v="6"/>
    <x v="1"/>
    <n v="76.099999999999994"/>
    <n v="152.19999999999999"/>
    <d v="2025-03-20T00:00:00"/>
    <d v="2025-03-20T00:00:00"/>
    <x v="2"/>
    <x v="4"/>
    <x v="2"/>
    <x v="0"/>
    <x v="16"/>
    <x v="7"/>
    <x v="11"/>
    <x v="2"/>
  </r>
  <r>
    <s v="TX502153"/>
    <x v="13"/>
    <x v="1"/>
    <n v="28.5"/>
    <n v="57"/>
    <d v="2025-03-20T00:00:00"/>
    <d v="2025-03-21T00:00:00"/>
    <x v="2"/>
    <x v="0"/>
    <x v="2"/>
    <x v="0"/>
    <x v="4"/>
    <x v="3"/>
    <x v="11"/>
    <x v="2"/>
  </r>
  <r>
    <s v="TX502154"/>
    <x v="0"/>
    <x v="12"/>
    <n v="32.1"/>
    <n v="128.4"/>
    <d v="2025-03-20T00:00:00"/>
    <d v="2025-03-21T00:00:00"/>
    <x v="2"/>
    <x v="1"/>
    <x v="2"/>
    <x v="0"/>
    <x v="25"/>
    <x v="3"/>
    <x v="11"/>
    <x v="2"/>
  </r>
  <r>
    <s v="TX502155"/>
    <x v="4"/>
    <x v="2"/>
    <n v="39"/>
    <n v="117"/>
    <d v="2025-03-20T00:00:00"/>
    <d v="2025-03-23T00:00:00"/>
    <x v="1"/>
    <x v="1"/>
    <x v="2"/>
    <x v="0"/>
    <x v="25"/>
    <x v="2"/>
    <x v="11"/>
    <x v="1"/>
  </r>
  <r>
    <s v="TX502156"/>
    <x v="6"/>
    <x v="0"/>
    <n v="78.5"/>
    <n v="78.5"/>
    <d v="2025-03-20T00:00:00"/>
    <d v="2025-03-21T00:00:00"/>
    <x v="1"/>
    <x v="1"/>
    <x v="0"/>
    <x v="0"/>
    <x v="6"/>
    <x v="3"/>
    <x v="11"/>
    <x v="1"/>
  </r>
  <r>
    <s v="TX502157"/>
    <x v="4"/>
    <x v="9"/>
    <n v="49.7"/>
    <n v="248.5"/>
    <d v="2025-03-20T00:00:00"/>
    <d v="2025-03-22T00:00:00"/>
    <x v="2"/>
    <x v="0"/>
    <x v="0"/>
    <x v="0"/>
    <x v="6"/>
    <x v="1"/>
    <x v="11"/>
    <x v="2"/>
  </r>
  <r>
    <s v="TX502158"/>
    <x v="1"/>
    <x v="12"/>
    <n v="68.400000000000006"/>
    <n v="273.60000000000002"/>
    <d v="2025-03-20T00:00:00"/>
    <d v="2025-03-21T00:00:00"/>
    <x v="2"/>
    <x v="2"/>
    <x v="2"/>
    <x v="0"/>
    <x v="7"/>
    <x v="3"/>
    <x v="11"/>
    <x v="2"/>
  </r>
  <r>
    <s v="TX502159"/>
    <x v="3"/>
    <x v="1"/>
    <n v="72.900000000000006"/>
    <n v="145.80000000000001"/>
    <d v="2025-03-20T00:00:00"/>
    <d v="2025-03-23T00:00:00"/>
    <x v="0"/>
    <x v="0"/>
    <x v="2"/>
    <x v="0"/>
    <x v="7"/>
    <x v="2"/>
    <x v="11"/>
    <x v="0"/>
  </r>
  <r>
    <s v="TX502160"/>
    <x v="5"/>
    <x v="15"/>
    <n v="30.3"/>
    <n v="393.90000000000003"/>
    <d v="2025-03-20T00:00:00"/>
    <d v="2025-03-21T00:00:00"/>
    <x v="1"/>
    <x v="4"/>
    <x v="0"/>
    <x v="0"/>
    <x v="7"/>
    <x v="3"/>
    <x v="11"/>
    <x v="1"/>
  </r>
  <r>
    <s v="TX502161"/>
    <x v="6"/>
    <x v="5"/>
    <n v="57.9"/>
    <n v="636.9"/>
    <d v="2025-03-20T00:00:00"/>
    <d v="2025-03-21T00:00:00"/>
    <x v="2"/>
    <x v="0"/>
    <x v="0"/>
    <x v="0"/>
    <x v="8"/>
    <x v="3"/>
    <x v="11"/>
    <x v="2"/>
  </r>
  <r>
    <s v="TX502162"/>
    <x v="1"/>
    <x v="0"/>
    <n v="96.7"/>
    <n v="96.7"/>
    <d v="2025-03-20T00:00:00"/>
    <d v="2025-03-21T00:00:00"/>
    <x v="1"/>
    <x v="0"/>
    <x v="0"/>
    <x v="0"/>
    <x v="8"/>
    <x v="3"/>
    <x v="11"/>
    <x v="1"/>
  </r>
  <r>
    <s v="TX502163"/>
    <x v="8"/>
    <x v="4"/>
    <n v="27.6"/>
    <n v="331.20000000000005"/>
    <d v="2025-03-20T00:00:00"/>
    <d v="2025-03-22T00:00:00"/>
    <x v="1"/>
    <x v="2"/>
    <x v="2"/>
    <x v="0"/>
    <x v="8"/>
    <x v="1"/>
    <x v="11"/>
    <x v="1"/>
  </r>
  <r>
    <s v="TX502164"/>
    <x v="6"/>
    <x v="12"/>
    <n v="64.7"/>
    <n v="258.8"/>
    <d v="2025-03-20T00:00:00"/>
    <d v="2025-03-20T00:00:00"/>
    <x v="1"/>
    <x v="3"/>
    <x v="2"/>
    <x v="0"/>
    <x v="8"/>
    <x v="7"/>
    <x v="11"/>
    <x v="1"/>
  </r>
  <r>
    <s v="TX502165"/>
    <x v="10"/>
    <x v="13"/>
    <n v="30.5"/>
    <n v="183"/>
    <d v="2025-03-20T00:00:00"/>
    <d v="2025-03-21T00:00:00"/>
    <x v="1"/>
    <x v="4"/>
    <x v="0"/>
    <x v="0"/>
    <x v="8"/>
    <x v="3"/>
    <x v="11"/>
    <x v="1"/>
  </r>
  <r>
    <s v="TX502166"/>
    <x v="6"/>
    <x v="47"/>
    <n v="106"/>
    <n v="7420"/>
    <d v="2025-03-21T00:00:00"/>
    <d v="2025-03-23T00:00:00"/>
    <x v="1"/>
    <x v="4"/>
    <x v="2"/>
    <x v="0"/>
    <x v="8"/>
    <x v="1"/>
    <x v="11"/>
    <x v="1"/>
  </r>
  <r>
    <s v="TX502167"/>
    <x v="12"/>
    <x v="9"/>
    <n v="76.8"/>
    <n v="384"/>
    <d v="2025-03-21T00:00:00"/>
    <d v="2025-03-27T00:00:00"/>
    <x v="0"/>
    <x v="1"/>
    <x v="1"/>
    <x v="0"/>
    <x v="18"/>
    <x v="4"/>
    <x v="11"/>
    <x v="0"/>
  </r>
  <r>
    <s v="TX502168"/>
    <x v="6"/>
    <x v="1"/>
    <n v="80.400000000000006"/>
    <n v="160.80000000000001"/>
    <d v="2025-03-21T00:00:00"/>
    <d v="2025-03-22T00:00:00"/>
    <x v="2"/>
    <x v="2"/>
    <x v="0"/>
    <x v="0"/>
    <x v="13"/>
    <x v="3"/>
    <x v="11"/>
    <x v="2"/>
  </r>
  <r>
    <s v="TX502169"/>
    <x v="6"/>
    <x v="12"/>
    <n v="69.099999999999994"/>
    <n v="276.39999999999998"/>
    <d v="2025-03-21T00:00:00"/>
    <d v="2025-03-22T00:00:00"/>
    <x v="1"/>
    <x v="1"/>
    <x v="2"/>
    <x v="0"/>
    <x v="21"/>
    <x v="3"/>
    <x v="11"/>
    <x v="1"/>
  </r>
  <r>
    <s v="TX502170"/>
    <x v="18"/>
    <x v="1"/>
    <n v="76.400000000000006"/>
    <n v="152.80000000000001"/>
    <d v="2025-03-21T00:00:00"/>
    <d v="2025-03-21T00:00:00"/>
    <x v="1"/>
    <x v="3"/>
    <x v="0"/>
    <x v="0"/>
    <x v="21"/>
    <x v="7"/>
    <x v="11"/>
    <x v="1"/>
  </r>
  <r>
    <s v="TX502171"/>
    <x v="2"/>
    <x v="1"/>
    <n v="61.3"/>
    <n v="122.6"/>
    <d v="2025-03-21T00:00:00"/>
    <d v="2025-03-22T00:00:00"/>
    <x v="2"/>
    <x v="1"/>
    <x v="1"/>
    <x v="0"/>
    <x v="21"/>
    <x v="3"/>
    <x v="11"/>
    <x v="2"/>
  </r>
  <r>
    <s v="TX502172"/>
    <x v="7"/>
    <x v="0"/>
    <n v="58"/>
    <n v="58"/>
    <d v="2025-03-21T00:00:00"/>
    <d v="2025-03-22T00:00:00"/>
    <x v="1"/>
    <x v="3"/>
    <x v="1"/>
    <x v="0"/>
    <x v="1"/>
    <x v="3"/>
    <x v="11"/>
    <x v="1"/>
  </r>
  <r>
    <s v="TX502173"/>
    <x v="2"/>
    <x v="8"/>
    <n v="102.3"/>
    <n v="818.4"/>
    <d v="2025-03-21T00:00:00"/>
    <d v="2025-03-23T00:00:00"/>
    <x v="1"/>
    <x v="2"/>
    <x v="0"/>
    <x v="0"/>
    <x v="42"/>
    <x v="1"/>
    <x v="11"/>
    <x v="1"/>
  </r>
  <r>
    <s v="TX502174"/>
    <x v="19"/>
    <x v="1"/>
    <n v="13.8"/>
    <n v="27.6"/>
    <d v="2025-03-21T00:00:00"/>
    <d v="2025-03-22T00:00:00"/>
    <x v="2"/>
    <x v="4"/>
    <x v="2"/>
    <x v="0"/>
    <x v="2"/>
    <x v="3"/>
    <x v="11"/>
    <x v="2"/>
  </r>
  <r>
    <s v="TX502175"/>
    <x v="8"/>
    <x v="2"/>
    <n v="33.299999999999997"/>
    <n v="99.899999999999991"/>
    <d v="2025-03-21T00:00:00"/>
    <d v="2025-03-24T00:00:00"/>
    <x v="2"/>
    <x v="2"/>
    <x v="0"/>
    <x v="0"/>
    <x v="22"/>
    <x v="2"/>
    <x v="11"/>
    <x v="2"/>
  </r>
  <r>
    <s v="TX502176"/>
    <x v="10"/>
    <x v="0"/>
    <n v="27.4"/>
    <n v="27.4"/>
    <d v="2025-03-21T00:00:00"/>
    <d v="2025-03-24T00:00:00"/>
    <x v="1"/>
    <x v="0"/>
    <x v="2"/>
    <x v="0"/>
    <x v="22"/>
    <x v="2"/>
    <x v="11"/>
    <x v="1"/>
  </r>
  <r>
    <s v="TX502177"/>
    <x v="14"/>
    <x v="1"/>
    <n v="25.6"/>
    <n v="51.2"/>
    <d v="2025-03-21T00:00:00"/>
    <d v="2025-03-22T00:00:00"/>
    <x v="2"/>
    <x v="1"/>
    <x v="1"/>
    <x v="0"/>
    <x v="3"/>
    <x v="3"/>
    <x v="11"/>
    <x v="2"/>
  </r>
  <r>
    <s v="TX502178"/>
    <x v="13"/>
    <x v="0"/>
    <n v="58.4"/>
    <n v="58.4"/>
    <d v="2025-03-21T00:00:00"/>
    <d v="2025-03-22T00:00:00"/>
    <x v="2"/>
    <x v="2"/>
    <x v="2"/>
    <x v="0"/>
    <x v="3"/>
    <x v="3"/>
    <x v="11"/>
    <x v="2"/>
  </r>
  <r>
    <s v="TX502179"/>
    <x v="11"/>
    <x v="17"/>
    <n v="27"/>
    <n v="810"/>
    <d v="2025-03-21T00:00:00"/>
    <d v="2025-03-22T00:00:00"/>
    <x v="2"/>
    <x v="4"/>
    <x v="0"/>
    <x v="0"/>
    <x v="3"/>
    <x v="3"/>
    <x v="11"/>
    <x v="2"/>
  </r>
  <r>
    <s v="TX502180"/>
    <x v="0"/>
    <x v="12"/>
    <n v="14.2"/>
    <n v="56.8"/>
    <d v="2025-03-21T00:00:00"/>
    <d v="2025-03-22T00:00:00"/>
    <x v="1"/>
    <x v="0"/>
    <x v="2"/>
    <x v="0"/>
    <x v="3"/>
    <x v="3"/>
    <x v="11"/>
    <x v="1"/>
  </r>
  <r>
    <s v="TX502181"/>
    <x v="7"/>
    <x v="1"/>
    <n v="68"/>
    <n v="136"/>
    <d v="2025-03-21T00:00:00"/>
    <d v="2025-03-31T00:00:00"/>
    <x v="1"/>
    <x v="2"/>
    <x v="1"/>
    <x v="0"/>
    <x v="3"/>
    <x v="14"/>
    <x v="11"/>
    <x v="1"/>
  </r>
  <r>
    <s v="TX502182"/>
    <x v="8"/>
    <x v="0"/>
    <n v="30.7"/>
    <n v="30.7"/>
    <d v="2025-03-21T00:00:00"/>
    <d v="2025-03-22T00:00:00"/>
    <x v="1"/>
    <x v="0"/>
    <x v="0"/>
    <x v="0"/>
    <x v="3"/>
    <x v="3"/>
    <x v="11"/>
    <x v="1"/>
  </r>
  <r>
    <s v="TX502183"/>
    <x v="17"/>
    <x v="15"/>
    <n v="51.6"/>
    <n v="670.80000000000007"/>
    <d v="2025-03-21T00:00:00"/>
    <d v="2025-03-24T00:00:00"/>
    <x v="3"/>
    <x v="1"/>
    <x v="2"/>
    <x v="0"/>
    <x v="3"/>
    <x v="2"/>
    <x v="11"/>
    <x v="3"/>
  </r>
  <r>
    <s v="TX502184"/>
    <x v="8"/>
    <x v="2"/>
    <n v="20.6"/>
    <n v="61.800000000000004"/>
    <d v="2025-03-21T00:00:00"/>
    <d v="2025-03-25T00:00:00"/>
    <x v="2"/>
    <x v="4"/>
    <x v="2"/>
    <x v="0"/>
    <x v="3"/>
    <x v="5"/>
    <x v="11"/>
    <x v="2"/>
  </r>
  <r>
    <s v="TX502185"/>
    <x v="8"/>
    <x v="0"/>
    <n v="24.8"/>
    <n v="24.8"/>
    <d v="2025-03-21T00:00:00"/>
    <d v="2025-03-22T00:00:00"/>
    <x v="1"/>
    <x v="4"/>
    <x v="0"/>
    <x v="0"/>
    <x v="3"/>
    <x v="3"/>
    <x v="11"/>
    <x v="1"/>
  </r>
  <r>
    <s v="TX502186"/>
    <x v="0"/>
    <x v="3"/>
    <n v="11.2"/>
    <n v="78.399999999999991"/>
    <d v="2025-03-21T00:00:00"/>
    <d v="2025-03-24T00:00:00"/>
    <x v="1"/>
    <x v="1"/>
    <x v="0"/>
    <x v="0"/>
    <x v="3"/>
    <x v="2"/>
    <x v="11"/>
    <x v="1"/>
  </r>
  <r>
    <s v="TX502187"/>
    <x v="11"/>
    <x v="1"/>
    <n v="51.2"/>
    <n v="102.4"/>
    <d v="2025-03-21T00:00:00"/>
    <d v="2025-03-22T00:00:00"/>
    <x v="2"/>
    <x v="1"/>
    <x v="2"/>
    <x v="0"/>
    <x v="3"/>
    <x v="3"/>
    <x v="11"/>
    <x v="2"/>
  </r>
  <r>
    <s v="TX502188"/>
    <x v="7"/>
    <x v="13"/>
    <n v="90.5"/>
    <n v="543"/>
    <d v="2025-03-21T00:00:00"/>
    <d v="2025-03-22T00:00:00"/>
    <x v="2"/>
    <x v="1"/>
    <x v="4"/>
    <x v="0"/>
    <x v="3"/>
    <x v="3"/>
    <x v="11"/>
    <x v="2"/>
  </r>
  <r>
    <s v="TX502189"/>
    <x v="1"/>
    <x v="1"/>
    <n v="42.4"/>
    <n v="84.8"/>
    <d v="2025-03-21T00:00:00"/>
    <d v="2025-03-22T00:00:00"/>
    <x v="1"/>
    <x v="1"/>
    <x v="2"/>
    <x v="0"/>
    <x v="4"/>
    <x v="3"/>
    <x v="11"/>
    <x v="1"/>
  </r>
  <r>
    <s v="TX502190"/>
    <x v="1"/>
    <x v="1"/>
    <n v="38.200000000000003"/>
    <n v="76.400000000000006"/>
    <d v="2025-03-21T00:00:00"/>
    <d v="2025-03-22T00:00:00"/>
    <x v="1"/>
    <x v="0"/>
    <x v="0"/>
    <x v="0"/>
    <x v="5"/>
    <x v="3"/>
    <x v="11"/>
    <x v="1"/>
  </r>
  <r>
    <s v="TX502191"/>
    <x v="2"/>
    <x v="11"/>
    <n v="121.3"/>
    <n v="1091.7"/>
    <d v="2025-03-21T00:00:00"/>
    <d v="2025-03-26T00:00:00"/>
    <x v="1"/>
    <x v="0"/>
    <x v="0"/>
    <x v="0"/>
    <x v="6"/>
    <x v="0"/>
    <x v="11"/>
    <x v="1"/>
  </r>
  <r>
    <s v="TX502192"/>
    <x v="6"/>
    <x v="1"/>
    <n v="46.9"/>
    <n v="93.8"/>
    <d v="2025-03-21T00:00:00"/>
    <d v="2025-03-28T00:00:00"/>
    <x v="1"/>
    <x v="0"/>
    <x v="0"/>
    <x v="0"/>
    <x v="8"/>
    <x v="6"/>
    <x v="11"/>
    <x v="1"/>
  </r>
  <r>
    <s v="TX502193"/>
    <x v="10"/>
    <x v="0"/>
    <n v="55.3"/>
    <n v="55.3"/>
    <d v="2025-03-21T00:00:00"/>
    <d v="2025-03-23T00:00:00"/>
    <x v="1"/>
    <x v="0"/>
    <x v="0"/>
    <x v="0"/>
    <x v="8"/>
    <x v="1"/>
    <x v="11"/>
    <x v="1"/>
  </r>
  <r>
    <s v="TX502194"/>
    <x v="2"/>
    <x v="2"/>
    <n v="70.599999999999994"/>
    <n v="211.79999999999998"/>
    <d v="2025-03-22T00:00:00"/>
    <d v="2025-03-22T00:00:00"/>
    <x v="2"/>
    <x v="0"/>
    <x v="1"/>
    <x v="0"/>
    <x v="8"/>
    <x v="7"/>
    <x v="11"/>
    <x v="2"/>
  </r>
  <r>
    <s v="TX502195"/>
    <x v="14"/>
    <x v="12"/>
    <n v="26.1"/>
    <n v="104.4"/>
    <d v="2025-03-22T00:00:00"/>
    <d v="2025-03-24T00:00:00"/>
    <x v="1"/>
    <x v="0"/>
    <x v="0"/>
    <x v="0"/>
    <x v="8"/>
    <x v="1"/>
    <x v="11"/>
    <x v="1"/>
  </r>
  <r>
    <s v="TX502196"/>
    <x v="9"/>
    <x v="5"/>
    <n v="34.5"/>
    <n v="379.5"/>
    <d v="2025-03-22T00:00:00"/>
    <d v="2025-03-26T00:00:00"/>
    <x v="1"/>
    <x v="2"/>
    <x v="0"/>
    <x v="0"/>
    <x v="17"/>
    <x v="5"/>
    <x v="11"/>
    <x v="1"/>
  </r>
  <r>
    <s v="TX502197"/>
    <x v="1"/>
    <x v="1"/>
    <n v="64.2"/>
    <n v="128.4"/>
    <d v="2025-03-22T00:00:00"/>
    <d v="2025-03-23T00:00:00"/>
    <x v="2"/>
    <x v="0"/>
    <x v="1"/>
    <x v="0"/>
    <x v="17"/>
    <x v="3"/>
    <x v="11"/>
    <x v="2"/>
  </r>
  <r>
    <s v="TX502198"/>
    <x v="2"/>
    <x v="12"/>
    <n v="145.69999999999999"/>
    <n v="582.79999999999995"/>
    <d v="2025-03-22T00:00:00"/>
    <d v="2025-03-23T00:00:00"/>
    <x v="2"/>
    <x v="0"/>
    <x v="4"/>
    <x v="0"/>
    <x v="17"/>
    <x v="3"/>
    <x v="11"/>
    <x v="2"/>
  </r>
  <r>
    <s v="TX502199"/>
    <x v="12"/>
    <x v="1"/>
    <n v="78.5"/>
    <n v="157"/>
    <d v="2025-03-22T00:00:00"/>
    <d v="2025-03-23T00:00:00"/>
    <x v="1"/>
    <x v="2"/>
    <x v="0"/>
    <x v="0"/>
    <x v="26"/>
    <x v="3"/>
    <x v="11"/>
    <x v="1"/>
  </r>
  <r>
    <s v="TX502200"/>
    <x v="1"/>
    <x v="0"/>
    <n v="34.200000000000003"/>
    <n v="34.200000000000003"/>
    <d v="2025-03-22T00:00:00"/>
    <d v="2025-03-24T00:00:00"/>
    <x v="1"/>
    <x v="0"/>
    <x v="0"/>
    <x v="0"/>
    <x v="9"/>
    <x v="1"/>
    <x v="11"/>
    <x v="1"/>
  </r>
  <r>
    <s v="TX502201"/>
    <x v="19"/>
    <x v="0"/>
    <n v="26.2"/>
    <n v="26.2"/>
    <d v="2025-03-22T00:00:00"/>
    <d v="2025-03-23T00:00:00"/>
    <x v="1"/>
    <x v="2"/>
    <x v="0"/>
    <x v="0"/>
    <x v="9"/>
    <x v="3"/>
    <x v="11"/>
    <x v="1"/>
  </r>
  <r>
    <s v="TX502202"/>
    <x v="6"/>
    <x v="12"/>
    <n v="53.2"/>
    <n v="212.8"/>
    <d v="2025-03-22T00:00:00"/>
    <d v="2025-03-23T00:00:00"/>
    <x v="1"/>
    <x v="1"/>
    <x v="1"/>
    <x v="0"/>
    <x v="11"/>
    <x v="3"/>
    <x v="11"/>
    <x v="1"/>
  </r>
  <r>
    <s v="TX502203"/>
    <x v="1"/>
    <x v="0"/>
    <n v="35.4"/>
    <n v="35.4"/>
    <d v="2025-03-22T00:00:00"/>
    <d v="2025-03-26T00:00:00"/>
    <x v="1"/>
    <x v="1"/>
    <x v="4"/>
    <x v="0"/>
    <x v="18"/>
    <x v="5"/>
    <x v="11"/>
    <x v="1"/>
  </r>
  <r>
    <s v="TX502204"/>
    <x v="14"/>
    <x v="1"/>
    <n v="21.3"/>
    <n v="42.6"/>
    <d v="2025-03-22T00:00:00"/>
    <d v="2025-03-23T00:00:00"/>
    <x v="1"/>
    <x v="2"/>
    <x v="0"/>
    <x v="0"/>
    <x v="20"/>
    <x v="3"/>
    <x v="11"/>
    <x v="1"/>
  </r>
  <r>
    <s v="TX502205"/>
    <x v="8"/>
    <x v="12"/>
    <n v="32.9"/>
    <n v="131.6"/>
    <d v="2025-03-22T00:00:00"/>
    <d v="2025-03-25T00:00:00"/>
    <x v="2"/>
    <x v="4"/>
    <x v="2"/>
    <x v="0"/>
    <x v="21"/>
    <x v="2"/>
    <x v="11"/>
    <x v="2"/>
  </r>
  <r>
    <s v="TX502206"/>
    <x v="5"/>
    <x v="20"/>
    <n v="85.5"/>
    <n v="1282.5"/>
    <d v="2025-03-22T00:00:00"/>
    <d v="2025-03-24T00:00:00"/>
    <x v="2"/>
    <x v="3"/>
    <x v="1"/>
    <x v="0"/>
    <x v="21"/>
    <x v="1"/>
    <x v="11"/>
    <x v="2"/>
  </r>
  <r>
    <s v="TX502207"/>
    <x v="4"/>
    <x v="0"/>
    <n v="26.8"/>
    <n v="26.8"/>
    <d v="2025-03-22T00:00:00"/>
    <d v="2025-03-23T00:00:00"/>
    <x v="2"/>
    <x v="0"/>
    <x v="1"/>
    <x v="0"/>
    <x v="2"/>
    <x v="3"/>
    <x v="11"/>
    <x v="2"/>
  </r>
  <r>
    <s v="TX502208"/>
    <x v="9"/>
    <x v="18"/>
    <n v="31.7"/>
    <n v="824.19999999999993"/>
    <d v="2025-03-22T00:00:00"/>
    <d v="2025-03-22T00:00:00"/>
    <x v="2"/>
    <x v="3"/>
    <x v="0"/>
    <x v="0"/>
    <x v="2"/>
    <x v="7"/>
    <x v="11"/>
    <x v="2"/>
  </r>
  <r>
    <s v="TX502209"/>
    <x v="1"/>
    <x v="1"/>
    <n v="78.3"/>
    <n v="156.6"/>
    <d v="2025-03-22T00:00:00"/>
    <d v="2025-03-24T00:00:00"/>
    <x v="2"/>
    <x v="1"/>
    <x v="1"/>
    <x v="0"/>
    <x v="3"/>
    <x v="1"/>
    <x v="11"/>
    <x v="2"/>
  </r>
  <r>
    <s v="TX502210"/>
    <x v="6"/>
    <x v="0"/>
    <n v="43.9"/>
    <n v="43.9"/>
    <d v="2025-03-22T00:00:00"/>
    <d v="2025-03-23T00:00:00"/>
    <x v="1"/>
    <x v="0"/>
    <x v="0"/>
    <x v="0"/>
    <x v="3"/>
    <x v="3"/>
    <x v="11"/>
    <x v="1"/>
  </r>
  <r>
    <s v="TX502211"/>
    <x v="18"/>
    <x v="2"/>
    <n v="84"/>
    <n v="252"/>
    <d v="2025-03-22T00:00:00"/>
    <d v="2025-03-24T00:00:00"/>
    <x v="0"/>
    <x v="3"/>
    <x v="2"/>
    <x v="0"/>
    <x v="3"/>
    <x v="1"/>
    <x v="11"/>
    <x v="0"/>
  </r>
  <r>
    <s v="TX502212"/>
    <x v="0"/>
    <x v="2"/>
    <n v="11.4"/>
    <n v="34.200000000000003"/>
    <d v="2025-03-22T00:00:00"/>
    <d v="2025-03-23T00:00:00"/>
    <x v="1"/>
    <x v="4"/>
    <x v="0"/>
    <x v="0"/>
    <x v="3"/>
    <x v="3"/>
    <x v="11"/>
    <x v="1"/>
  </r>
  <r>
    <s v="TX502213"/>
    <x v="12"/>
    <x v="8"/>
    <n v="47.5"/>
    <n v="380"/>
    <d v="2025-03-22T00:00:00"/>
    <d v="2025-03-30T00:00:00"/>
    <x v="2"/>
    <x v="0"/>
    <x v="0"/>
    <x v="0"/>
    <x v="3"/>
    <x v="9"/>
    <x v="11"/>
    <x v="2"/>
  </r>
  <r>
    <s v="TX502214"/>
    <x v="9"/>
    <x v="5"/>
    <n v="50.5"/>
    <n v="555.5"/>
    <d v="2025-03-22T00:00:00"/>
    <d v="2025-03-24T00:00:00"/>
    <x v="1"/>
    <x v="2"/>
    <x v="0"/>
    <x v="0"/>
    <x v="3"/>
    <x v="1"/>
    <x v="11"/>
    <x v="1"/>
  </r>
  <r>
    <s v="TX502215"/>
    <x v="15"/>
    <x v="0"/>
    <n v="36.299999999999997"/>
    <n v="36.299999999999997"/>
    <d v="2025-03-22T00:00:00"/>
    <d v="2025-03-25T00:00:00"/>
    <x v="3"/>
    <x v="0"/>
    <x v="1"/>
    <x v="0"/>
    <x v="8"/>
    <x v="2"/>
    <x v="11"/>
    <x v="3"/>
  </r>
  <r>
    <s v="TX502216"/>
    <x v="8"/>
    <x v="1"/>
    <n v="35.4"/>
    <n v="70.8"/>
    <d v="2025-03-22T00:00:00"/>
    <d v="2025-03-23T00:00:00"/>
    <x v="2"/>
    <x v="0"/>
    <x v="0"/>
    <x v="0"/>
    <x v="17"/>
    <x v="3"/>
    <x v="11"/>
    <x v="2"/>
  </r>
  <r>
    <s v="TX502217"/>
    <x v="1"/>
    <x v="2"/>
    <n v="45.9"/>
    <n v="137.69999999999999"/>
    <d v="2025-03-23T00:00:00"/>
    <d v="2025-03-24T00:00:00"/>
    <x v="1"/>
    <x v="3"/>
    <x v="0"/>
    <x v="0"/>
    <x v="9"/>
    <x v="3"/>
    <x v="12"/>
    <x v="1"/>
  </r>
  <r>
    <s v="TX502218"/>
    <x v="6"/>
    <x v="7"/>
    <n v="41.2"/>
    <n v="412"/>
    <d v="2025-03-23T00:00:00"/>
    <d v="2025-03-27T00:00:00"/>
    <x v="1"/>
    <x v="0"/>
    <x v="0"/>
    <x v="0"/>
    <x v="11"/>
    <x v="5"/>
    <x v="12"/>
    <x v="1"/>
  </r>
  <r>
    <s v="TX502219"/>
    <x v="17"/>
    <x v="1"/>
    <n v="45.1"/>
    <n v="90.2"/>
    <d v="2025-03-23T00:00:00"/>
    <d v="2025-03-24T00:00:00"/>
    <x v="1"/>
    <x v="1"/>
    <x v="1"/>
    <x v="0"/>
    <x v="21"/>
    <x v="3"/>
    <x v="12"/>
    <x v="1"/>
  </r>
  <r>
    <s v="TX502220"/>
    <x v="6"/>
    <x v="7"/>
    <n v="63.6"/>
    <n v="636"/>
    <d v="2025-03-23T00:00:00"/>
    <d v="2025-03-23T00:00:00"/>
    <x v="1"/>
    <x v="2"/>
    <x v="0"/>
    <x v="0"/>
    <x v="1"/>
    <x v="7"/>
    <x v="12"/>
    <x v="1"/>
  </r>
  <r>
    <s v="TX502221"/>
    <x v="8"/>
    <x v="0"/>
    <n v="70.5"/>
    <n v="70.5"/>
    <d v="2025-03-23T00:00:00"/>
    <d v="2025-03-24T00:00:00"/>
    <x v="1"/>
    <x v="0"/>
    <x v="0"/>
    <x v="0"/>
    <x v="3"/>
    <x v="3"/>
    <x v="12"/>
    <x v="1"/>
  </r>
  <r>
    <s v="TX502222"/>
    <x v="6"/>
    <x v="0"/>
    <n v="41.3"/>
    <n v="41.3"/>
    <d v="2025-03-23T00:00:00"/>
    <d v="2025-03-23T00:00:00"/>
    <x v="1"/>
    <x v="4"/>
    <x v="0"/>
    <x v="0"/>
    <x v="3"/>
    <x v="7"/>
    <x v="12"/>
    <x v="1"/>
  </r>
  <r>
    <s v="TX502223"/>
    <x v="4"/>
    <x v="0"/>
    <n v="35.299999999999997"/>
    <n v="35.299999999999997"/>
    <d v="2025-03-23T00:00:00"/>
    <d v="2025-03-26T00:00:00"/>
    <x v="2"/>
    <x v="4"/>
    <x v="2"/>
    <x v="0"/>
    <x v="3"/>
    <x v="2"/>
    <x v="12"/>
    <x v="2"/>
  </r>
  <r>
    <s v="TX502224"/>
    <x v="8"/>
    <x v="9"/>
    <n v="34.700000000000003"/>
    <n v="173.5"/>
    <d v="2025-03-23T00:00:00"/>
    <d v="2025-03-24T00:00:00"/>
    <x v="2"/>
    <x v="0"/>
    <x v="2"/>
    <x v="0"/>
    <x v="3"/>
    <x v="3"/>
    <x v="12"/>
    <x v="2"/>
  </r>
  <r>
    <s v="TX502225"/>
    <x v="8"/>
    <x v="2"/>
    <n v="26.1"/>
    <n v="78.300000000000011"/>
    <d v="2025-03-23T00:00:00"/>
    <d v="2025-03-24T00:00:00"/>
    <x v="2"/>
    <x v="0"/>
    <x v="0"/>
    <x v="0"/>
    <x v="3"/>
    <x v="3"/>
    <x v="12"/>
    <x v="2"/>
  </r>
  <r>
    <s v="TX502226"/>
    <x v="9"/>
    <x v="9"/>
    <n v="22.6"/>
    <n v="113"/>
    <d v="2025-03-23T00:00:00"/>
    <d v="2025-03-23T00:00:00"/>
    <x v="2"/>
    <x v="1"/>
    <x v="2"/>
    <x v="0"/>
    <x v="3"/>
    <x v="7"/>
    <x v="12"/>
    <x v="2"/>
  </r>
  <r>
    <s v="TX502227"/>
    <x v="2"/>
    <x v="1"/>
    <n v="154.4"/>
    <n v="308.8"/>
    <d v="2025-03-23T00:00:00"/>
    <d v="2025-03-26T00:00:00"/>
    <x v="1"/>
    <x v="1"/>
    <x v="1"/>
    <x v="0"/>
    <x v="3"/>
    <x v="2"/>
    <x v="12"/>
    <x v="1"/>
  </r>
  <r>
    <s v="TX502228"/>
    <x v="8"/>
    <x v="1"/>
    <n v="18.399999999999999"/>
    <n v="36.799999999999997"/>
    <d v="2025-03-23T00:00:00"/>
    <d v="2025-03-24T00:00:00"/>
    <x v="1"/>
    <x v="0"/>
    <x v="0"/>
    <x v="0"/>
    <x v="3"/>
    <x v="3"/>
    <x v="12"/>
    <x v="1"/>
  </r>
  <r>
    <s v="TX502229"/>
    <x v="14"/>
    <x v="0"/>
    <n v="25"/>
    <n v="25"/>
    <d v="2025-03-23T00:00:00"/>
    <d v="2025-03-26T00:00:00"/>
    <x v="2"/>
    <x v="0"/>
    <x v="0"/>
    <x v="0"/>
    <x v="3"/>
    <x v="2"/>
    <x v="12"/>
    <x v="2"/>
  </r>
  <r>
    <s v="TX502230"/>
    <x v="2"/>
    <x v="13"/>
    <n v="105.6"/>
    <n v="633.59999999999991"/>
    <d v="2025-03-23T00:00:00"/>
    <d v="2025-03-23T00:00:00"/>
    <x v="2"/>
    <x v="0"/>
    <x v="0"/>
    <x v="0"/>
    <x v="3"/>
    <x v="7"/>
    <x v="12"/>
    <x v="2"/>
  </r>
  <r>
    <s v="TX502231"/>
    <x v="18"/>
    <x v="8"/>
    <n v="59.6"/>
    <n v="476.8"/>
    <d v="2025-03-23T00:00:00"/>
    <d v="2025-03-23T00:00:00"/>
    <x v="2"/>
    <x v="0"/>
    <x v="2"/>
    <x v="0"/>
    <x v="23"/>
    <x v="7"/>
    <x v="12"/>
    <x v="2"/>
  </r>
  <r>
    <s v="TX502232"/>
    <x v="15"/>
    <x v="2"/>
    <n v="75.400000000000006"/>
    <n v="226.20000000000002"/>
    <d v="2025-03-23T00:00:00"/>
    <d v="2025-03-28T00:00:00"/>
    <x v="1"/>
    <x v="0"/>
    <x v="1"/>
    <x v="0"/>
    <x v="7"/>
    <x v="0"/>
    <x v="12"/>
    <x v="1"/>
  </r>
  <r>
    <s v="TX502233"/>
    <x v="7"/>
    <x v="0"/>
    <n v="104.4"/>
    <n v="104.4"/>
    <d v="2025-03-23T00:00:00"/>
    <d v="2025-03-24T00:00:00"/>
    <x v="2"/>
    <x v="0"/>
    <x v="0"/>
    <x v="0"/>
    <x v="8"/>
    <x v="3"/>
    <x v="12"/>
    <x v="2"/>
  </r>
  <r>
    <s v="TX502234"/>
    <x v="2"/>
    <x v="7"/>
    <n v="208.2"/>
    <n v="2082"/>
    <d v="2025-03-23T00:00:00"/>
    <d v="2025-03-24T00:00:00"/>
    <x v="1"/>
    <x v="0"/>
    <x v="2"/>
    <x v="0"/>
    <x v="8"/>
    <x v="3"/>
    <x v="12"/>
    <x v="1"/>
  </r>
  <r>
    <s v="TX502235"/>
    <x v="6"/>
    <x v="1"/>
    <n v="45"/>
    <n v="90"/>
    <d v="2025-03-23T00:00:00"/>
    <d v="2025-03-26T00:00:00"/>
    <x v="2"/>
    <x v="0"/>
    <x v="0"/>
    <x v="0"/>
    <x v="10"/>
    <x v="2"/>
    <x v="12"/>
    <x v="2"/>
  </r>
  <r>
    <s v="TX502236"/>
    <x v="15"/>
    <x v="1"/>
    <n v="20.3"/>
    <n v="40.6"/>
    <d v="2025-03-24T00:00:00"/>
    <d v="2025-03-26T00:00:00"/>
    <x v="0"/>
    <x v="1"/>
    <x v="0"/>
    <x v="0"/>
    <x v="11"/>
    <x v="1"/>
    <x v="12"/>
    <x v="0"/>
  </r>
  <r>
    <s v="TX502237"/>
    <x v="2"/>
    <x v="2"/>
    <n v="94.4"/>
    <n v="283.20000000000005"/>
    <d v="2025-03-24T00:00:00"/>
    <d v="2025-03-25T00:00:00"/>
    <x v="2"/>
    <x v="0"/>
    <x v="2"/>
    <x v="0"/>
    <x v="11"/>
    <x v="3"/>
    <x v="12"/>
    <x v="2"/>
  </r>
  <r>
    <s v="TX502238"/>
    <x v="9"/>
    <x v="0"/>
    <n v="49"/>
    <n v="49"/>
    <d v="2025-03-24T00:00:00"/>
    <d v="2025-03-26T00:00:00"/>
    <x v="2"/>
    <x v="0"/>
    <x v="2"/>
    <x v="0"/>
    <x v="20"/>
    <x v="1"/>
    <x v="12"/>
    <x v="2"/>
  </r>
  <r>
    <s v="TX502239"/>
    <x v="4"/>
    <x v="1"/>
    <n v="27.2"/>
    <n v="54.4"/>
    <d v="2025-03-24T00:00:00"/>
    <d v="2025-03-26T00:00:00"/>
    <x v="1"/>
    <x v="0"/>
    <x v="2"/>
    <x v="0"/>
    <x v="1"/>
    <x v="1"/>
    <x v="12"/>
    <x v="1"/>
  </r>
  <r>
    <s v="TX502240"/>
    <x v="2"/>
    <x v="13"/>
    <n v="72.599999999999994"/>
    <n v="435.59999999999997"/>
    <d v="2025-03-24T00:00:00"/>
    <d v="2025-03-25T00:00:00"/>
    <x v="2"/>
    <x v="0"/>
    <x v="2"/>
    <x v="0"/>
    <x v="2"/>
    <x v="3"/>
    <x v="12"/>
    <x v="2"/>
  </r>
  <r>
    <s v="TX502241"/>
    <x v="15"/>
    <x v="12"/>
    <n v="62.4"/>
    <n v="249.6"/>
    <d v="2025-03-24T00:00:00"/>
    <d v="2025-03-25T00:00:00"/>
    <x v="2"/>
    <x v="0"/>
    <x v="0"/>
    <x v="0"/>
    <x v="3"/>
    <x v="3"/>
    <x v="12"/>
    <x v="2"/>
  </r>
  <r>
    <s v="TX502242"/>
    <x v="8"/>
    <x v="2"/>
    <n v="19.100000000000001"/>
    <n v="57.300000000000004"/>
    <d v="2025-03-24T00:00:00"/>
    <d v="2025-03-26T00:00:00"/>
    <x v="1"/>
    <x v="0"/>
    <x v="1"/>
    <x v="0"/>
    <x v="3"/>
    <x v="1"/>
    <x v="12"/>
    <x v="1"/>
  </r>
  <r>
    <s v="TX502243"/>
    <x v="10"/>
    <x v="0"/>
    <n v="29.6"/>
    <n v="29.6"/>
    <d v="2025-03-24T00:00:00"/>
    <d v="2025-03-28T00:00:00"/>
    <x v="1"/>
    <x v="0"/>
    <x v="4"/>
    <x v="0"/>
    <x v="3"/>
    <x v="5"/>
    <x v="12"/>
    <x v="1"/>
  </r>
  <r>
    <s v="TX502244"/>
    <x v="8"/>
    <x v="1"/>
    <n v="18.899999999999999"/>
    <n v="37.799999999999997"/>
    <d v="2025-03-24T00:00:00"/>
    <d v="2025-03-26T00:00:00"/>
    <x v="2"/>
    <x v="4"/>
    <x v="2"/>
    <x v="0"/>
    <x v="3"/>
    <x v="1"/>
    <x v="12"/>
    <x v="2"/>
  </r>
  <r>
    <s v="TX502245"/>
    <x v="10"/>
    <x v="9"/>
    <n v="41.4"/>
    <n v="207"/>
    <d v="2025-03-24T00:00:00"/>
    <d v="2025-03-25T00:00:00"/>
    <x v="1"/>
    <x v="3"/>
    <x v="0"/>
    <x v="0"/>
    <x v="3"/>
    <x v="3"/>
    <x v="12"/>
    <x v="1"/>
  </r>
  <r>
    <s v="TX502246"/>
    <x v="2"/>
    <x v="0"/>
    <n v="118.4"/>
    <n v="118.4"/>
    <d v="2025-03-24T00:00:00"/>
    <d v="2025-03-25T00:00:00"/>
    <x v="2"/>
    <x v="0"/>
    <x v="2"/>
    <x v="0"/>
    <x v="3"/>
    <x v="3"/>
    <x v="12"/>
    <x v="2"/>
  </r>
  <r>
    <s v="TX502247"/>
    <x v="2"/>
    <x v="1"/>
    <n v="125.3"/>
    <n v="250.6"/>
    <d v="2025-03-24T00:00:00"/>
    <d v="2025-03-27T00:00:00"/>
    <x v="2"/>
    <x v="0"/>
    <x v="2"/>
    <x v="0"/>
    <x v="3"/>
    <x v="2"/>
    <x v="12"/>
    <x v="2"/>
  </r>
  <r>
    <s v="TX502248"/>
    <x v="3"/>
    <x v="1"/>
    <n v="85.8"/>
    <n v="171.6"/>
    <d v="2025-03-24T00:00:00"/>
    <d v="2025-03-25T00:00:00"/>
    <x v="2"/>
    <x v="1"/>
    <x v="4"/>
    <x v="0"/>
    <x v="3"/>
    <x v="3"/>
    <x v="12"/>
    <x v="2"/>
  </r>
  <r>
    <s v="TX502249"/>
    <x v="6"/>
    <x v="0"/>
    <n v="44.2"/>
    <n v="44.2"/>
    <d v="2025-03-24T00:00:00"/>
    <d v="2025-03-27T00:00:00"/>
    <x v="1"/>
    <x v="1"/>
    <x v="0"/>
    <x v="0"/>
    <x v="3"/>
    <x v="2"/>
    <x v="12"/>
    <x v="1"/>
  </r>
  <r>
    <s v="TX502250"/>
    <x v="5"/>
    <x v="12"/>
    <n v="74.099999999999994"/>
    <n v="296.39999999999998"/>
    <d v="2025-03-24T00:00:00"/>
    <d v="2025-03-26T00:00:00"/>
    <x v="2"/>
    <x v="0"/>
    <x v="0"/>
    <x v="0"/>
    <x v="3"/>
    <x v="1"/>
    <x v="12"/>
    <x v="2"/>
  </r>
  <r>
    <s v="TX502251"/>
    <x v="8"/>
    <x v="0"/>
    <n v="33.799999999999997"/>
    <n v="33.799999999999997"/>
    <d v="2025-03-24T00:00:00"/>
    <d v="2025-03-25T00:00:00"/>
    <x v="2"/>
    <x v="2"/>
    <x v="2"/>
    <x v="0"/>
    <x v="24"/>
    <x v="3"/>
    <x v="12"/>
    <x v="2"/>
  </r>
  <r>
    <s v="TX502252"/>
    <x v="1"/>
    <x v="1"/>
    <n v="39.1"/>
    <n v="78.2"/>
    <d v="2025-03-24T00:00:00"/>
    <d v="2025-03-25T00:00:00"/>
    <x v="1"/>
    <x v="0"/>
    <x v="1"/>
    <x v="0"/>
    <x v="24"/>
    <x v="3"/>
    <x v="12"/>
    <x v="1"/>
  </r>
  <r>
    <s v="TX502253"/>
    <x v="0"/>
    <x v="0"/>
    <n v="37.200000000000003"/>
    <n v="37.200000000000003"/>
    <d v="2025-03-24T00:00:00"/>
    <d v="2025-03-25T00:00:00"/>
    <x v="1"/>
    <x v="0"/>
    <x v="1"/>
    <x v="0"/>
    <x v="16"/>
    <x v="3"/>
    <x v="12"/>
    <x v="1"/>
  </r>
  <r>
    <s v="TX502254"/>
    <x v="15"/>
    <x v="2"/>
    <n v="33.9"/>
    <n v="101.69999999999999"/>
    <d v="2025-03-24T00:00:00"/>
    <d v="2025-03-26T00:00:00"/>
    <x v="1"/>
    <x v="2"/>
    <x v="0"/>
    <x v="0"/>
    <x v="6"/>
    <x v="1"/>
    <x v="12"/>
    <x v="1"/>
  </r>
  <r>
    <s v="TX502255"/>
    <x v="7"/>
    <x v="20"/>
    <n v="73.3"/>
    <n v="1099.5"/>
    <d v="2025-03-24T00:00:00"/>
    <d v="2025-03-27T00:00:00"/>
    <x v="2"/>
    <x v="2"/>
    <x v="1"/>
    <x v="0"/>
    <x v="8"/>
    <x v="2"/>
    <x v="12"/>
    <x v="2"/>
  </r>
  <r>
    <s v="TX502256"/>
    <x v="8"/>
    <x v="12"/>
    <n v="35"/>
    <n v="140"/>
    <d v="2025-03-24T00:00:00"/>
    <d v="2025-03-26T00:00:00"/>
    <x v="2"/>
    <x v="1"/>
    <x v="0"/>
    <x v="0"/>
    <x v="8"/>
    <x v="1"/>
    <x v="12"/>
    <x v="2"/>
  </r>
  <r>
    <s v="TX502257"/>
    <x v="0"/>
    <x v="2"/>
    <n v="22.2"/>
    <n v="66.599999999999994"/>
    <d v="2025-03-24T00:00:00"/>
    <d v="2025-03-25T00:00:00"/>
    <x v="1"/>
    <x v="1"/>
    <x v="0"/>
    <x v="0"/>
    <x v="17"/>
    <x v="3"/>
    <x v="12"/>
    <x v="1"/>
  </r>
  <r>
    <s v="TX502258"/>
    <x v="10"/>
    <x v="0"/>
    <n v="32.4"/>
    <n v="32.4"/>
    <d v="2025-03-24T00:00:00"/>
    <d v="2025-03-25T00:00:00"/>
    <x v="2"/>
    <x v="0"/>
    <x v="0"/>
    <x v="0"/>
    <x v="11"/>
    <x v="3"/>
    <x v="12"/>
    <x v="2"/>
  </r>
  <r>
    <s v="TX502259"/>
    <x v="5"/>
    <x v="2"/>
    <n v="88.4"/>
    <n v="265.20000000000005"/>
    <d v="2025-03-25T00:00:00"/>
    <d v="2025-03-27T00:00:00"/>
    <x v="2"/>
    <x v="1"/>
    <x v="1"/>
    <x v="0"/>
    <x v="11"/>
    <x v="1"/>
    <x v="12"/>
    <x v="2"/>
  </r>
  <r>
    <s v="TX502260"/>
    <x v="5"/>
    <x v="27"/>
    <n v="30.5"/>
    <n v="488"/>
    <d v="2025-03-25T00:00:00"/>
    <d v="2025-03-26T00:00:00"/>
    <x v="2"/>
    <x v="2"/>
    <x v="0"/>
    <x v="0"/>
    <x v="11"/>
    <x v="3"/>
    <x v="12"/>
    <x v="2"/>
  </r>
  <r>
    <s v="TX502261"/>
    <x v="1"/>
    <x v="13"/>
    <n v="38.1"/>
    <n v="228.60000000000002"/>
    <d v="2025-03-25T00:00:00"/>
    <d v="2025-03-27T00:00:00"/>
    <x v="2"/>
    <x v="0"/>
    <x v="1"/>
    <x v="0"/>
    <x v="11"/>
    <x v="1"/>
    <x v="12"/>
    <x v="2"/>
  </r>
  <r>
    <s v="TX502262"/>
    <x v="10"/>
    <x v="9"/>
    <n v="37.6"/>
    <n v="188"/>
    <d v="2025-03-25T00:00:00"/>
    <d v="2025-03-29T00:00:00"/>
    <x v="1"/>
    <x v="0"/>
    <x v="0"/>
    <x v="0"/>
    <x v="11"/>
    <x v="5"/>
    <x v="12"/>
    <x v="1"/>
  </r>
  <r>
    <s v="TX502263"/>
    <x v="15"/>
    <x v="1"/>
    <n v="31.4"/>
    <n v="62.8"/>
    <d v="2025-03-25T00:00:00"/>
    <d v="2025-03-26T00:00:00"/>
    <x v="1"/>
    <x v="0"/>
    <x v="2"/>
    <x v="0"/>
    <x v="11"/>
    <x v="3"/>
    <x v="12"/>
    <x v="1"/>
  </r>
  <r>
    <s v="TX502264"/>
    <x v="6"/>
    <x v="1"/>
    <n v="61.5"/>
    <n v="123"/>
    <d v="2025-03-25T00:00:00"/>
    <d v="2025-03-26T00:00:00"/>
    <x v="1"/>
    <x v="3"/>
    <x v="0"/>
    <x v="0"/>
    <x v="31"/>
    <x v="3"/>
    <x v="12"/>
    <x v="1"/>
  </r>
  <r>
    <s v="TX502265"/>
    <x v="6"/>
    <x v="0"/>
    <n v="72.599999999999994"/>
    <n v="72.599999999999994"/>
    <d v="2025-03-25T00:00:00"/>
    <d v="2025-03-26T00:00:00"/>
    <x v="1"/>
    <x v="0"/>
    <x v="1"/>
    <x v="0"/>
    <x v="21"/>
    <x v="3"/>
    <x v="12"/>
    <x v="1"/>
  </r>
  <r>
    <s v="TX502266"/>
    <x v="9"/>
    <x v="2"/>
    <n v="26.9"/>
    <n v="80.699999999999989"/>
    <d v="2025-03-25T00:00:00"/>
    <d v="2025-03-30T00:00:00"/>
    <x v="3"/>
    <x v="4"/>
    <x v="1"/>
    <x v="0"/>
    <x v="46"/>
    <x v="0"/>
    <x v="12"/>
    <x v="3"/>
  </r>
  <r>
    <s v="TX502267"/>
    <x v="17"/>
    <x v="4"/>
    <n v="29.4"/>
    <n v="352.79999999999995"/>
    <d v="2025-03-25T00:00:00"/>
    <d v="2025-03-26T00:00:00"/>
    <x v="2"/>
    <x v="1"/>
    <x v="0"/>
    <x v="0"/>
    <x v="51"/>
    <x v="3"/>
    <x v="12"/>
    <x v="2"/>
  </r>
  <r>
    <s v="TX502268"/>
    <x v="17"/>
    <x v="1"/>
    <n v="42.1"/>
    <n v="84.2"/>
    <d v="2025-03-25T00:00:00"/>
    <d v="2025-03-26T00:00:00"/>
    <x v="2"/>
    <x v="3"/>
    <x v="1"/>
    <x v="0"/>
    <x v="1"/>
    <x v="3"/>
    <x v="12"/>
    <x v="2"/>
  </r>
  <r>
    <s v="TX502269"/>
    <x v="5"/>
    <x v="0"/>
    <n v="40.5"/>
    <n v="40.5"/>
    <d v="2025-03-25T00:00:00"/>
    <d v="2025-03-26T00:00:00"/>
    <x v="2"/>
    <x v="2"/>
    <x v="1"/>
    <x v="0"/>
    <x v="1"/>
    <x v="3"/>
    <x v="12"/>
    <x v="2"/>
  </r>
  <r>
    <s v="TX502270"/>
    <x v="2"/>
    <x v="12"/>
    <n v="182.3"/>
    <n v="729.2"/>
    <d v="2025-03-25T00:00:00"/>
    <d v="2025-03-26T00:00:00"/>
    <x v="2"/>
    <x v="1"/>
    <x v="0"/>
    <x v="0"/>
    <x v="1"/>
    <x v="3"/>
    <x v="12"/>
    <x v="2"/>
  </r>
  <r>
    <s v="TX502271"/>
    <x v="2"/>
    <x v="9"/>
    <n v="157"/>
    <n v="785"/>
    <d v="2025-03-25T00:00:00"/>
    <d v="2025-03-28T00:00:00"/>
    <x v="2"/>
    <x v="1"/>
    <x v="2"/>
    <x v="0"/>
    <x v="2"/>
    <x v="2"/>
    <x v="12"/>
    <x v="2"/>
  </r>
  <r>
    <s v="TX502272"/>
    <x v="17"/>
    <x v="9"/>
    <n v="45.2"/>
    <n v="226"/>
    <d v="2025-03-25T00:00:00"/>
    <d v="2025-03-28T00:00:00"/>
    <x v="2"/>
    <x v="1"/>
    <x v="0"/>
    <x v="0"/>
    <x v="22"/>
    <x v="2"/>
    <x v="12"/>
    <x v="2"/>
  </r>
  <r>
    <s v="TX502273"/>
    <x v="15"/>
    <x v="12"/>
    <n v="27.4"/>
    <n v="109.6"/>
    <d v="2025-03-25T00:00:00"/>
    <d v="2025-03-27T00:00:00"/>
    <x v="2"/>
    <x v="0"/>
    <x v="0"/>
    <x v="0"/>
    <x v="3"/>
    <x v="1"/>
    <x v="12"/>
    <x v="2"/>
  </r>
  <r>
    <s v="TX502274"/>
    <x v="5"/>
    <x v="9"/>
    <n v="34.1"/>
    <n v="170.5"/>
    <d v="2025-03-25T00:00:00"/>
    <d v="2025-03-27T00:00:00"/>
    <x v="1"/>
    <x v="0"/>
    <x v="2"/>
    <x v="0"/>
    <x v="3"/>
    <x v="1"/>
    <x v="12"/>
    <x v="1"/>
  </r>
  <r>
    <s v="TX502275"/>
    <x v="0"/>
    <x v="1"/>
    <n v="26"/>
    <n v="52"/>
    <d v="2025-03-25T00:00:00"/>
    <d v="2025-03-27T00:00:00"/>
    <x v="1"/>
    <x v="2"/>
    <x v="1"/>
    <x v="0"/>
    <x v="3"/>
    <x v="1"/>
    <x v="12"/>
    <x v="1"/>
  </r>
  <r>
    <s v="TX502276"/>
    <x v="8"/>
    <x v="3"/>
    <n v="19.399999999999999"/>
    <n v="135.79999999999998"/>
    <d v="2025-03-25T00:00:00"/>
    <d v="2025-03-27T00:00:00"/>
    <x v="0"/>
    <x v="1"/>
    <x v="1"/>
    <x v="0"/>
    <x v="3"/>
    <x v="1"/>
    <x v="12"/>
    <x v="0"/>
  </r>
  <r>
    <s v="TX502277"/>
    <x v="16"/>
    <x v="2"/>
    <n v="30.3"/>
    <n v="90.9"/>
    <d v="2025-03-25T00:00:00"/>
    <d v="2025-03-28T00:00:00"/>
    <x v="2"/>
    <x v="1"/>
    <x v="2"/>
    <x v="0"/>
    <x v="3"/>
    <x v="2"/>
    <x v="12"/>
    <x v="2"/>
  </r>
  <r>
    <s v="TX502278"/>
    <x v="2"/>
    <x v="2"/>
    <n v="101.4"/>
    <n v="304.20000000000005"/>
    <d v="2025-03-25T00:00:00"/>
    <d v="2025-03-26T00:00:00"/>
    <x v="1"/>
    <x v="0"/>
    <x v="0"/>
    <x v="0"/>
    <x v="3"/>
    <x v="3"/>
    <x v="12"/>
    <x v="1"/>
  </r>
  <r>
    <s v="TX502279"/>
    <x v="3"/>
    <x v="9"/>
    <n v="55.5"/>
    <n v="277.5"/>
    <d v="2025-03-25T00:00:00"/>
    <d v="2025-03-28T00:00:00"/>
    <x v="1"/>
    <x v="1"/>
    <x v="0"/>
    <x v="0"/>
    <x v="24"/>
    <x v="2"/>
    <x v="12"/>
    <x v="1"/>
  </r>
  <r>
    <s v="TX502280"/>
    <x v="8"/>
    <x v="0"/>
    <n v="23.1"/>
    <n v="23.1"/>
    <d v="2025-03-25T00:00:00"/>
    <d v="2025-03-26T00:00:00"/>
    <x v="1"/>
    <x v="0"/>
    <x v="0"/>
    <x v="0"/>
    <x v="25"/>
    <x v="3"/>
    <x v="12"/>
    <x v="1"/>
  </r>
  <r>
    <s v="TX502281"/>
    <x v="18"/>
    <x v="1"/>
    <n v="38.9"/>
    <n v="77.8"/>
    <d v="2025-03-25T00:00:00"/>
    <d v="2025-03-26T00:00:00"/>
    <x v="1"/>
    <x v="2"/>
    <x v="0"/>
    <x v="0"/>
    <x v="25"/>
    <x v="3"/>
    <x v="12"/>
    <x v="1"/>
  </r>
  <r>
    <s v="TX502282"/>
    <x v="6"/>
    <x v="11"/>
    <n v="116.3"/>
    <n v="1046.7"/>
    <d v="2025-03-25T00:00:00"/>
    <d v="2025-03-29T00:00:00"/>
    <x v="2"/>
    <x v="0"/>
    <x v="0"/>
    <x v="0"/>
    <x v="5"/>
    <x v="5"/>
    <x v="12"/>
    <x v="2"/>
  </r>
  <r>
    <s v="TX502283"/>
    <x v="16"/>
    <x v="11"/>
    <n v="64.099999999999994"/>
    <n v="576.9"/>
    <d v="2025-03-25T00:00:00"/>
    <d v="2025-03-25T00:00:00"/>
    <x v="2"/>
    <x v="0"/>
    <x v="2"/>
    <x v="0"/>
    <x v="6"/>
    <x v="7"/>
    <x v="12"/>
    <x v="2"/>
  </r>
  <r>
    <s v="TX502284"/>
    <x v="2"/>
    <x v="13"/>
    <n v="109.2"/>
    <n v="655.20000000000005"/>
    <d v="2025-03-25T00:00:00"/>
    <d v="2025-03-27T00:00:00"/>
    <x v="1"/>
    <x v="0"/>
    <x v="1"/>
    <x v="0"/>
    <x v="8"/>
    <x v="1"/>
    <x v="12"/>
    <x v="1"/>
  </r>
  <r>
    <s v="TX502285"/>
    <x v="10"/>
    <x v="9"/>
    <n v="23.2"/>
    <n v="116"/>
    <d v="2025-03-26T00:00:00"/>
    <d v="2025-03-27T00:00:00"/>
    <x v="1"/>
    <x v="0"/>
    <x v="1"/>
    <x v="0"/>
    <x v="8"/>
    <x v="3"/>
    <x v="12"/>
    <x v="1"/>
  </r>
  <r>
    <s v="TX502286"/>
    <x v="18"/>
    <x v="13"/>
    <n v="81.2"/>
    <n v="487.20000000000005"/>
    <d v="2025-03-26T00:00:00"/>
    <d v="2025-03-28T00:00:00"/>
    <x v="1"/>
    <x v="2"/>
    <x v="2"/>
    <x v="0"/>
    <x v="8"/>
    <x v="1"/>
    <x v="12"/>
    <x v="1"/>
  </r>
  <r>
    <s v="TX502287"/>
    <x v="1"/>
    <x v="21"/>
    <n v="35.700000000000003"/>
    <n v="499.80000000000007"/>
    <d v="2025-03-26T00:00:00"/>
    <d v="2025-03-27T00:00:00"/>
    <x v="1"/>
    <x v="3"/>
    <x v="0"/>
    <x v="0"/>
    <x v="8"/>
    <x v="3"/>
    <x v="12"/>
    <x v="1"/>
  </r>
  <r>
    <s v="TX502288"/>
    <x v="7"/>
    <x v="1"/>
    <n v="44.5"/>
    <n v="89"/>
    <d v="2025-03-26T00:00:00"/>
    <d v="2025-03-29T00:00:00"/>
    <x v="1"/>
    <x v="4"/>
    <x v="0"/>
    <x v="0"/>
    <x v="9"/>
    <x v="2"/>
    <x v="12"/>
    <x v="1"/>
  </r>
  <r>
    <s v="TX502289"/>
    <x v="1"/>
    <x v="9"/>
    <n v="32"/>
    <n v="160"/>
    <d v="2025-03-26T00:00:00"/>
    <d v="2025-03-28T00:00:00"/>
    <x v="3"/>
    <x v="1"/>
    <x v="1"/>
    <x v="0"/>
    <x v="9"/>
    <x v="1"/>
    <x v="12"/>
    <x v="3"/>
  </r>
  <r>
    <s v="TX502290"/>
    <x v="8"/>
    <x v="0"/>
    <n v="25.7"/>
    <n v="25.7"/>
    <d v="2025-03-26T00:00:00"/>
    <d v="2025-03-27T00:00:00"/>
    <x v="1"/>
    <x v="0"/>
    <x v="0"/>
    <x v="0"/>
    <x v="10"/>
    <x v="3"/>
    <x v="12"/>
    <x v="1"/>
  </r>
  <r>
    <s v="TX502291"/>
    <x v="16"/>
    <x v="2"/>
    <n v="65.599999999999994"/>
    <n v="196.79999999999998"/>
    <d v="2025-03-26T00:00:00"/>
    <d v="2025-04-01T00:00:00"/>
    <x v="1"/>
    <x v="0"/>
    <x v="0"/>
    <x v="0"/>
    <x v="11"/>
    <x v="4"/>
    <x v="12"/>
    <x v="1"/>
  </r>
  <r>
    <s v="TX502292"/>
    <x v="1"/>
    <x v="12"/>
    <n v="52.1"/>
    <n v="208.4"/>
    <d v="2025-03-26T00:00:00"/>
    <d v="2025-03-27T00:00:00"/>
    <x v="2"/>
    <x v="0"/>
    <x v="2"/>
    <x v="0"/>
    <x v="11"/>
    <x v="3"/>
    <x v="12"/>
    <x v="2"/>
  </r>
  <r>
    <s v="TX502293"/>
    <x v="8"/>
    <x v="0"/>
    <n v="31"/>
    <n v="31"/>
    <d v="2025-03-26T00:00:00"/>
    <d v="2025-03-27T00:00:00"/>
    <x v="1"/>
    <x v="0"/>
    <x v="1"/>
    <x v="0"/>
    <x v="19"/>
    <x v="3"/>
    <x v="12"/>
    <x v="1"/>
  </r>
  <r>
    <s v="TX502294"/>
    <x v="8"/>
    <x v="0"/>
    <n v="32"/>
    <n v="32"/>
    <d v="2025-03-26T00:00:00"/>
    <d v="2025-03-28T00:00:00"/>
    <x v="3"/>
    <x v="3"/>
    <x v="1"/>
    <x v="0"/>
    <x v="31"/>
    <x v="1"/>
    <x v="12"/>
    <x v="3"/>
  </r>
  <r>
    <s v="TX502295"/>
    <x v="16"/>
    <x v="12"/>
    <n v="58.3"/>
    <n v="233.2"/>
    <d v="2025-03-26T00:00:00"/>
    <d v="2025-03-30T00:00:00"/>
    <x v="1"/>
    <x v="1"/>
    <x v="4"/>
    <x v="0"/>
    <x v="20"/>
    <x v="5"/>
    <x v="12"/>
    <x v="1"/>
  </r>
  <r>
    <s v="TX502296"/>
    <x v="8"/>
    <x v="2"/>
    <n v="31"/>
    <n v="93"/>
    <d v="2025-03-26T00:00:00"/>
    <d v="2025-03-28T00:00:00"/>
    <x v="2"/>
    <x v="2"/>
    <x v="4"/>
    <x v="0"/>
    <x v="13"/>
    <x v="1"/>
    <x v="12"/>
    <x v="2"/>
  </r>
  <r>
    <s v="TX502297"/>
    <x v="3"/>
    <x v="0"/>
    <n v="40.299999999999997"/>
    <n v="40.299999999999997"/>
    <d v="2025-03-26T00:00:00"/>
    <d v="2025-03-27T00:00:00"/>
    <x v="1"/>
    <x v="1"/>
    <x v="2"/>
    <x v="0"/>
    <x v="54"/>
    <x v="3"/>
    <x v="12"/>
    <x v="1"/>
  </r>
  <r>
    <s v="TX502298"/>
    <x v="6"/>
    <x v="2"/>
    <n v="47.3"/>
    <n v="141.89999999999998"/>
    <d v="2025-03-26T00:00:00"/>
    <d v="2025-03-28T00:00:00"/>
    <x v="1"/>
    <x v="4"/>
    <x v="2"/>
    <x v="0"/>
    <x v="2"/>
    <x v="1"/>
    <x v="12"/>
    <x v="1"/>
  </r>
  <r>
    <s v="TX502299"/>
    <x v="2"/>
    <x v="0"/>
    <n v="82.8"/>
    <n v="82.8"/>
    <d v="2025-03-26T00:00:00"/>
    <d v="2025-03-27T00:00:00"/>
    <x v="1"/>
    <x v="0"/>
    <x v="0"/>
    <x v="0"/>
    <x v="2"/>
    <x v="3"/>
    <x v="12"/>
    <x v="1"/>
  </r>
  <r>
    <s v="TX502300"/>
    <x v="8"/>
    <x v="0"/>
    <n v="18.5"/>
    <n v="18.5"/>
    <d v="2025-03-26T00:00:00"/>
    <d v="2025-04-09T00:00:00"/>
    <x v="2"/>
    <x v="0"/>
    <x v="0"/>
    <x v="0"/>
    <x v="44"/>
    <x v="12"/>
    <x v="12"/>
    <x v="2"/>
  </r>
  <r>
    <s v="TX502301"/>
    <x v="3"/>
    <x v="1"/>
    <n v="60.4"/>
    <n v="120.8"/>
    <d v="2025-03-26T00:00:00"/>
    <d v="2025-03-27T00:00:00"/>
    <x v="1"/>
    <x v="2"/>
    <x v="0"/>
    <x v="0"/>
    <x v="22"/>
    <x v="3"/>
    <x v="12"/>
    <x v="1"/>
  </r>
  <r>
    <s v="TX502302"/>
    <x v="6"/>
    <x v="9"/>
    <n v="80.2"/>
    <n v="401"/>
    <d v="2025-03-26T00:00:00"/>
    <d v="2025-04-02T00:00:00"/>
    <x v="1"/>
    <x v="1"/>
    <x v="1"/>
    <x v="0"/>
    <x v="50"/>
    <x v="6"/>
    <x v="12"/>
    <x v="1"/>
  </r>
  <r>
    <s v="TX502303"/>
    <x v="4"/>
    <x v="0"/>
    <n v="41.5"/>
    <n v="41.5"/>
    <d v="2025-03-26T00:00:00"/>
    <d v="2025-03-28T00:00:00"/>
    <x v="1"/>
    <x v="2"/>
    <x v="0"/>
    <x v="0"/>
    <x v="3"/>
    <x v="1"/>
    <x v="12"/>
    <x v="1"/>
  </r>
  <r>
    <s v="TX502304"/>
    <x v="2"/>
    <x v="1"/>
    <n v="83.9"/>
    <n v="167.8"/>
    <d v="2025-03-26T00:00:00"/>
    <d v="2025-03-29T00:00:00"/>
    <x v="2"/>
    <x v="0"/>
    <x v="0"/>
    <x v="0"/>
    <x v="3"/>
    <x v="2"/>
    <x v="12"/>
    <x v="2"/>
  </r>
  <r>
    <s v="TX502305"/>
    <x v="8"/>
    <x v="1"/>
    <n v="16.7"/>
    <n v="33.4"/>
    <d v="2025-03-26T00:00:00"/>
    <d v="2025-03-30T00:00:00"/>
    <x v="2"/>
    <x v="0"/>
    <x v="1"/>
    <x v="0"/>
    <x v="3"/>
    <x v="5"/>
    <x v="12"/>
    <x v="2"/>
  </r>
  <r>
    <s v="TX502306"/>
    <x v="9"/>
    <x v="1"/>
    <n v="72.900000000000006"/>
    <n v="145.80000000000001"/>
    <d v="2025-03-26T00:00:00"/>
    <d v="2025-03-27T00:00:00"/>
    <x v="1"/>
    <x v="2"/>
    <x v="1"/>
    <x v="0"/>
    <x v="3"/>
    <x v="3"/>
    <x v="12"/>
    <x v="1"/>
  </r>
  <r>
    <s v="TX502307"/>
    <x v="5"/>
    <x v="1"/>
    <n v="50.2"/>
    <n v="100.4"/>
    <d v="2025-03-26T00:00:00"/>
    <d v="2025-03-28T00:00:00"/>
    <x v="2"/>
    <x v="1"/>
    <x v="2"/>
    <x v="0"/>
    <x v="3"/>
    <x v="1"/>
    <x v="12"/>
    <x v="2"/>
  </r>
  <r>
    <s v="TX502308"/>
    <x v="3"/>
    <x v="1"/>
    <n v="34.200000000000003"/>
    <n v="68.400000000000006"/>
    <d v="2025-03-26T00:00:00"/>
    <d v="2025-04-05T00:00:00"/>
    <x v="0"/>
    <x v="1"/>
    <x v="0"/>
    <x v="0"/>
    <x v="3"/>
    <x v="14"/>
    <x v="12"/>
    <x v="0"/>
  </r>
  <r>
    <s v="TX502309"/>
    <x v="5"/>
    <x v="1"/>
    <n v="107.9"/>
    <n v="215.8"/>
    <d v="2025-03-26T00:00:00"/>
    <d v="2025-03-26T00:00:00"/>
    <x v="1"/>
    <x v="1"/>
    <x v="4"/>
    <x v="0"/>
    <x v="3"/>
    <x v="7"/>
    <x v="12"/>
    <x v="1"/>
  </r>
  <r>
    <s v="TX502310"/>
    <x v="0"/>
    <x v="2"/>
    <n v="17.5"/>
    <n v="52.5"/>
    <d v="2025-03-26T00:00:00"/>
    <d v="2025-03-28T00:00:00"/>
    <x v="1"/>
    <x v="4"/>
    <x v="0"/>
    <x v="0"/>
    <x v="3"/>
    <x v="1"/>
    <x v="12"/>
    <x v="1"/>
  </r>
  <r>
    <s v="TX502311"/>
    <x v="13"/>
    <x v="20"/>
    <n v="44.7"/>
    <n v="670.5"/>
    <d v="2025-03-26T00:00:00"/>
    <d v="2025-03-27T00:00:00"/>
    <x v="1"/>
    <x v="0"/>
    <x v="1"/>
    <x v="0"/>
    <x v="3"/>
    <x v="3"/>
    <x v="12"/>
    <x v="1"/>
  </r>
  <r>
    <s v="TX502312"/>
    <x v="12"/>
    <x v="13"/>
    <n v="92.7"/>
    <n v="556.20000000000005"/>
    <d v="2025-03-26T00:00:00"/>
    <d v="2025-03-28T00:00:00"/>
    <x v="2"/>
    <x v="2"/>
    <x v="1"/>
    <x v="0"/>
    <x v="3"/>
    <x v="1"/>
    <x v="12"/>
    <x v="2"/>
  </r>
  <r>
    <s v="TX502313"/>
    <x v="7"/>
    <x v="2"/>
    <n v="48.8"/>
    <n v="146.39999999999998"/>
    <d v="2025-03-26T00:00:00"/>
    <d v="2025-03-28T00:00:00"/>
    <x v="2"/>
    <x v="2"/>
    <x v="0"/>
    <x v="0"/>
    <x v="3"/>
    <x v="1"/>
    <x v="12"/>
    <x v="2"/>
  </r>
  <r>
    <s v="TX502314"/>
    <x v="4"/>
    <x v="27"/>
    <n v="21.3"/>
    <n v="340.8"/>
    <d v="2025-03-26T00:00:00"/>
    <d v="2025-03-30T00:00:00"/>
    <x v="2"/>
    <x v="3"/>
    <x v="3"/>
    <x v="0"/>
    <x v="3"/>
    <x v="5"/>
    <x v="12"/>
    <x v="2"/>
  </r>
  <r>
    <s v="TX502315"/>
    <x v="16"/>
    <x v="0"/>
    <n v="52.5"/>
    <n v="52.5"/>
    <d v="2025-03-26T00:00:00"/>
    <d v="2025-03-27T00:00:00"/>
    <x v="2"/>
    <x v="0"/>
    <x v="0"/>
    <x v="0"/>
    <x v="3"/>
    <x v="3"/>
    <x v="12"/>
    <x v="2"/>
  </r>
  <r>
    <s v="TX502316"/>
    <x v="1"/>
    <x v="1"/>
    <n v="92.4"/>
    <n v="184.8"/>
    <d v="2025-03-26T00:00:00"/>
    <d v="2025-04-01T00:00:00"/>
    <x v="2"/>
    <x v="0"/>
    <x v="2"/>
    <x v="0"/>
    <x v="3"/>
    <x v="4"/>
    <x v="12"/>
    <x v="2"/>
  </r>
  <r>
    <s v="TX502317"/>
    <x v="4"/>
    <x v="5"/>
    <n v="58.3"/>
    <n v="641.29999999999995"/>
    <d v="2025-03-26T00:00:00"/>
    <d v="2025-03-28T00:00:00"/>
    <x v="1"/>
    <x v="1"/>
    <x v="2"/>
    <x v="0"/>
    <x v="3"/>
    <x v="1"/>
    <x v="12"/>
    <x v="1"/>
  </r>
  <r>
    <s v="TX502318"/>
    <x v="6"/>
    <x v="44"/>
    <n v="152.6"/>
    <n v="3509.7999999999997"/>
    <d v="2025-03-27T00:00:00"/>
    <d v="2025-03-29T00:00:00"/>
    <x v="0"/>
    <x v="0"/>
    <x v="0"/>
    <x v="0"/>
    <x v="3"/>
    <x v="1"/>
    <x v="12"/>
    <x v="0"/>
  </r>
  <r>
    <s v="TX502319"/>
    <x v="8"/>
    <x v="1"/>
    <n v="26"/>
    <n v="52"/>
    <d v="2025-03-27T00:00:00"/>
    <d v="2025-03-27T00:00:00"/>
    <x v="0"/>
    <x v="0"/>
    <x v="1"/>
    <x v="0"/>
    <x v="3"/>
    <x v="7"/>
    <x v="12"/>
    <x v="0"/>
  </r>
  <r>
    <s v="TX502320"/>
    <x v="1"/>
    <x v="12"/>
    <n v="33.1"/>
    <n v="132.4"/>
    <d v="2025-03-27T00:00:00"/>
    <d v="2025-03-27T00:00:00"/>
    <x v="1"/>
    <x v="2"/>
    <x v="4"/>
    <x v="0"/>
    <x v="5"/>
    <x v="7"/>
    <x v="12"/>
    <x v="1"/>
  </r>
  <r>
    <s v="TX502321"/>
    <x v="18"/>
    <x v="0"/>
    <n v="51.4"/>
    <n v="51.4"/>
    <d v="2025-03-27T00:00:00"/>
    <d v="2025-03-29T00:00:00"/>
    <x v="2"/>
    <x v="1"/>
    <x v="1"/>
    <x v="0"/>
    <x v="5"/>
    <x v="1"/>
    <x v="12"/>
    <x v="2"/>
  </r>
  <r>
    <s v="TX502322"/>
    <x v="8"/>
    <x v="1"/>
    <n v="30.2"/>
    <n v="60.4"/>
    <d v="2025-03-27T00:00:00"/>
    <d v="2025-03-28T00:00:00"/>
    <x v="2"/>
    <x v="2"/>
    <x v="2"/>
    <x v="0"/>
    <x v="6"/>
    <x v="3"/>
    <x v="12"/>
    <x v="2"/>
  </r>
  <r>
    <s v="TX502323"/>
    <x v="2"/>
    <x v="13"/>
    <n v="97"/>
    <n v="582"/>
    <d v="2025-03-27T00:00:00"/>
    <d v="2025-03-31T00:00:00"/>
    <x v="2"/>
    <x v="0"/>
    <x v="2"/>
    <x v="0"/>
    <x v="7"/>
    <x v="5"/>
    <x v="12"/>
    <x v="2"/>
  </r>
  <r>
    <s v="TX502324"/>
    <x v="2"/>
    <x v="0"/>
    <n v="76.900000000000006"/>
    <n v="76.900000000000006"/>
    <d v="2025-03-27T00:00:00"/>
    <d v="2025-03-28T00:00:00"/>
    <x v="1"/>
    <x v="1"/>
    <x v="2"/>
    <x v="0"/>
    <x v="8"/>
    <x v="3"/>
    <x v="12"/>
    <x v="1"/>
  </r>
  <r>
    <s v="TX502325"/>
    <x v="7"/>
    <x v="13"/>
    <n v="36.1"/>
    <n v="216.60000000000002"/>
    <d v="2025-03-27T00:00:00"/>
    <d v="2025-03-31T00:00:00"/>
    <x v="2"/>
    <x v="0"/>
    <x v="0"/>
    <x v="0"/>
    <x v="8"/>
    <x v="5"/>
    <x v="12"/>
    <x v="2"/>
  </r>
  <r>
    <s v="TX502326"/>
    <x v="1"/>
    <x v="3"/>
    <n v="34.4"/>
    <n v="240.79999999999998"/>
    <d v="2025-03-27T00:00:00"/>
    <d v="2025-03-27T00:00:00"/>
    <x v="2"/>
    <x v="2"/>
    <x v="1"/>
    <x v="0"/>
    <x v="11"/>
    <x v="7"/>
    <x v="12"/>
    <x v="2"/>
  </r>
  <r>
    <s v="TX502327"/>
    <x v="1"/>
    <x v="31"/>
    <n v="53.4"/>
    <n v="1495.2"/>
    <d v="2025-03-27T00:00:00"/>
    <d v="2025-03-29T00:00:00"/>
    <x v="2"/>
    <x v="1"/>
    <x v="0"/>
    <x v="0"/>
    <x v="18"/>
    <x v="1"/>
    <x v="12"/>
    <x v="2"/>
  </r>
  <r>
    <s v="TX502328"/>
    <x v="2"/>
    <x v="0"/>
    <n v="77.599999999999994"/>
    <n v="77.599999999999994"/>
    <d v="2025-03-27T00:00:00"/>
    <d v="2025-03-28T00:00:00"/>
    <x v="2"/>
    <x v="0"/>
    <x v="1"/>
    <x v="0"/>
    <x v="19"/>
    <x v="3"/>
    <x v="12"/>
    <x v="2"/>
  </r>
  <r>
    <s v="TX502329"/>
    <x v="1"/>
    <x v="2"/>
    <n v="71.7"/>
    <n v="215.10000000000002"/>
    <d v="2025-03-27T00:00:00"/>
    <d v="2025-03-30T00:00:00"/>
    <x v="2"/>
    <x v="1"/>
    <x v="0"/>
    <x v="0"/>
    <x v="19"/>
    <x v="2"/>
    <x v="12"/>
    <x v="2"/>
  </r>
  <r>
    <s v="TX502330"/>
    <x v="3"/>
    <x v="2"/>
    <n v="80.599999999999994"/>
    <n v="241.79999999999998"/>
    <d v="2025-03-27T00:00:00"/>
    <d v="2025-03-28T00:00:00"/>
    <x v="1"/>
    <x v="4"/>
    <x v="1"/>
    <x v="0"/>
    <x v="19"/>
    <x v="3"/>
    <x v="12"/>
    <x v="1"/>
  </r>
  <r>
    <s v="TX502331"/>
    <x v="1"/>
    <x v="20"/>
    <n v="70"/>
    <n v="1050"/>
    <d v="2025-03-27T00:00:00"/>
    <d v="2025-03-29T00:00:00"/>
    <x v="1"/>
    <x v="0"/>
    <x v="0"/>
    <x v="0"/>
    <x v="20"/>
    <x v="1"/>
    <x v="12"/>
    <x v="1"/>
  </r>
  <r>
    <s v="TX502332"/>
    <x v="4"/>
    <x v="13"/>
    <n v="27.3"/>
    <n v="163.80000000000001"/>
    <d v="2025-03-27T00:00:00"/>
    <d v="2025-03-29T00:00:00"/>
    <x v="2"/>
    <x v="1"/>
    <x v="1"/>
    <x v="0"/>
    <x v="2"/>
    <x v="1"/>
    <x v="12"/>
    <x v="2"/>
  </r>
  <r>
    <s v="TX502333"/>
    <x v="8"/>
    <x v="21"/>
    <n v="37.6"/>
    <n v="526.4"/>
    <d v="2025-03-27T00:00:00"/>
    <d v="2025-03-29T00:00:00"/>
    <x v="1"/>
    <x v="1"/>
    <x v="0"/>
    <x v="0"/>
    <x v="3"/>
    <x v="1"/>
    <x v="12"/>
    <x v="1"/>
  </r>
  <r>
    <s v="TX502334"/>
    <x v="5"/>
    <x v="2"/>
    <n v="36.6"/>
    <n v="109.80000000000001"/>
    <d v="2025-03-27T00:00:00"/>
    <d v="2025-03-29T00:00:00"/>
    <x v="2"/>
    <x v="4"/>
    <x v="0"/>
    <x v="0"/>
    <x v="3"/>
    <x v="1"/>
    <x v="12"/>
    <x v="2"/>
  </r>
  <r>
    <s v="TX502335"/>
    <x v="13"/>
    <x v="0"/>
    <n v="55.2"/>
    <n v="55.2"/>
    <d v="2025-03-27T00:00:00"/>
    <d v="2025-03-29T00:00:00"/>
    <x v="1"/>
    <x v="3"/>
    <x v="0"/>
    <x v="0"/>
    <x v="3"/>
    <x v="1"/>
    <x v="12"/>
    <x v="1"/>
  </r>
  <r>
    <s v="TX502336"/>
    <x v="6"/>
    <x v="9"/>
    <n v="59.9"/>
    <n v="299.5"/>
    <d v="2025-03-27T00:00:00"/>
    <d v="2025-03-29T00:00:00"/>
    <x v="1"/>
    <x v="0"/>
    <x v="0"/>
    <x v="0"/>
    <x v="3"/>
    <x v="1"/>
    <x v="12"/>
    <x v="1"/>
  </r>
  <r>
    <s v="TX502337"/>
    <x v="6"/>
    <x v="0"/>
    <n v="44"/>
    <n v="44"/>
    <d v="2025-03-27T00:00:00"/>
    <d v="2025-03-28T00:00:00"/>
    <x v="2"/>
    <x v="2"/>
    <x v="2"/>
    <x v="0"/>
    <x v="3"/>
    <x v="3"/>
    <x v="12"/>
    <x v="2"/>
  </r>
  <r>
    <s v="TX502338"/>
    <x v="9"/>
    <x v="1"/>
    <n v="68.7"/>
    <n v="137.4"/>
    <d v="2025-03-27T00:00:00"/>
    <d v="2025-03-27T00:00:00"/>
    <x v="1"/>
    <x v="0"/>
    <x v="0"/>
    <x v="0"/>
    <x v="3"/>
    <x v="7"/>
    <x v="12"/>
    <x v="1"/>
  </r>
  <r>
    <s v="TX502339"/>
    <x v="5"/>
    <x v="1"/>
    <n v="61.6"/>
    <n v="123.2"/>
    <d v="2025-03-27T00:00:00"/>
    <d v="2025-03-31T00:00:00"/>
    <x v="1"/>
    <x v="3"/>
    <x v="1"/>
    <x v="0"/>
    <x v="3"/>
    <x v="5"/>
    <x v="12"/>
    <x v="1"/>
  </r>
  <r>
    <s v="TX502340"/>
    <x v="7"/>
    <x v="3"/>
    <n v="51.8"/>
    <n v="362.59999999999997"/>
    <d v="2025-03-27T00:00:00"/>
    <d v="2025-03-28T00:00:00"/>
    <x v="1"/>
    <x v="0"/>
    <x v="0"/>
    <x v="0"/>
    <x v="3"/>
    <x v="3"/>
    <x v="12"/>
    <x v="1"/>
  </r>
  <r>
    <s v="TX502341"/>
    <x v="8"/>
    <x v="7"/>
    <n v="46.2"/>
    <n v="462"/>
    <d v="2025-03-27T00:00:00"/>
    <d v="2025-03-29T00:00:00"/>
    <x v="1"/>
    <x v="1"/>
    <x v="2"/>
    <x v="0"/>
    <x v="3"/>
    <x v="1"/>
    <x v="12"/>
    <x v="1"/>
  </r>
  <r>
    <s v="TX502342"/>
    <x v="0"/>
    <x v="1"/>
    <n v="19.399999999999999"/>
    <n v="38.799999999999997"/>
    <d v="2025-03-27T00:00:00"/>
    <d v="2025-03-29T00:00:00"/>
    <x v="2"/>
    <x v="1"/>
    <x v="2"/>
    <x v="0"/>
    <x v="6"/>
    <x v="1"/>
    <x v="12"/>
    <x v="2"/>
  </r>
  <r>
    <s v="TX502343"/>
    <x v="11"/>
    <x v="2"/>
    <n v="52.1"/>
    <n v="156.30000000000001"/>
    <d v="2025-03-27T00:00:00"/>
    <d v="2025-03-30T00:00:00"/>
    <x v="1"/>
    <x v="3"/>
    <x v="3"/>
    <x v="0"/>
    <x v="6"/>
    <x v="2"/>
    <x v="12"/>
    <x v="1"/>
  </r>
  <r>
    <s v="TX502344"/>
    <x v="6"/>
    <x v="0"/>
    <n v="74.900000000000006"/>
    <n v="74.900000000000006"/>
    <d v="2025-03-27T00:00:00"/>
    <d v="2025-03-29T00:00:00"/>
    <x v="3"/>
    <x v="0"/>
    <x v="0"/>
    <x v="0"/>
    <x v="7"/>
    <x v="1"/>
    <x v="12"/>
    <x v="3"/>
  </r>
  <r>
    <s v="TX502345"/>
    <x v="9"/>
    <x v="3"/>
    <n v="49.6"/>
    <n v="347.2"/>
    <d v="2025-03-27T00:00:00"/>
    <d v="2025-03-30T00:00:00"/>
    <x v="2"/>
    <x v="4"/>
    <x v="0"/>
    <x v="0"/>
    <x v="8"/>
    <x v="2"/>
    <x v="12"/>
    <x v="2"/>
  </r>
  <r>
    <s v="TX502346"/>
    <x v="16"/>
    <x v="12"/>
    <n v="82.8"/>
    <n v="331.2"/>
    <d v="2025-03-28T00:00:00"/>
    <d v="2025-03-31T00:00:00"/>
    <x v="2"/>
    <x v="4"/>
    <x v="0"/>
    <x v="0"/>
    <x v="8"/>
    <x v="2"/>
    <x v="12"/>
    <x v="2"/>
  </r>
  <r>
    <s v="TX502347"/>
    <x v="2"/>
    <x v="0"/>
    <n v="97.7"/>
    <n v="97.7"/>
    <d v="2025-03-28T00:00:00"/>
    <d v="2025-03-29T00:00:00"/>
    <x v="2"/>
    <x v="1"/>
    <x v="0"/>
    <x v="0"/>
    <x v="8"/>
    <x v="3"/>
    <x v="12"/>
    <x v="2"/>
  </r>
  <r>
    <s v="TX502348"/>
    <x v="6"/>
    <x v="9"/>
    <n v="83.6"/>
    <n v="418"/>
    <d v="2025-03-28T00:00:00"/>
    <d v="2025-03-29T00:00:00"/>
    <x v="2"/>
    <x v="4"/>
    <x v="0"/>
    <x v="0"/>
    <x v="8"/>
    <x v="3"/>
    <x v="12"/>
    <x v="2"/>
  </r>
  <r>
    <s v="TX502349"/>
    <x v="8"/>
    <x v="9"/>
    <n v="23.5"/>
    <n v="117.5"/>
    <d v="2025-03-28T00:00:00"/>
    <d v="2025-04-01T00:00:00"/>
    <x v="3"/>
    <x v="0"/>
    <x v="0"/>
    <x v="0"/>
    <x v="8"/>
    <x v="5"/>
    <x v="12"/>
    <x v="3"/>
  </r>
  <r>
    <s v="TX502350"/>
    <x v="9"/>
    <x v="2"/>
    <n v="44.6"/>
    <n v="133.80000000000001"/>
    <d v="2025-03-28T00:00:00"/>
    <d v="2025-03-31T00:00:00"/>
    <x v="2"/>
    <x v="4"/>
    <x v="1"/>
    <x v="0"/>
    <x v="26"/>
    <x v="2"/>
    <x v="12"/>
    <x v="2"/>
  </r>
  <r>
    <s v="TX502351"/>
    <x v="0"/>
    <x v="2"/>
    <n v="20.100000000000001"/>
    <n v="60.300000000000004"/>
    <d v="2025-03-28T00:00:00"/>
    <d v="2025-03-30T00:00:00"/>
    <x v="2"/>
    <x v="3"/>
    <x v="4"/>
    <x v="0"/>
    <x v="11"/>
    <x v="1"/>
    <x v="12"/>
    <x v="2"/>
  </r>
  <r>
    <s v="TX502352"/>
    <x v="2"/>
    <x v="9"/>
    <n v="153.6"/>
    <n v="768"/>
    <d v="2025-03-28T00:00:00"/>
    <d v="2025-03-29T00:00:00"/>
    <x v="2"/>
    <x v="1"/>
    <x v="2"/>
    <x v="0"/>
    <x v="53"/>
    <x v="3"/>
    <x v="12"/>
    <x v="2"/>
  </r>
  <r>
    <s v="TX502353"/>
    <x v="1"/>
    <x v="1"/>
    <n v="71.8"/>
    <n v="143.6"/>
    <d v="2025-03-28T00:00:00"/>
    <d v="2025-04-01T00:00:00"/>
    <x v="2"/>
    <x v="1"/>
    <x v="0"/>
    <x v="0"/>
    <x v="1"/>
    <x v="5"/>
    <x v="12"/>
    <x v="2"/>
  </r>
  <r>
    <s v="TX502354"/>
    <x v="10"/>
    <x v="0"/>
    <n v="64.7"/>
    <n v="64.7"/>
    <d v="2025-03-28T00:00:00"/>
    <d v="2025-03-30T00:00:00"/>
    <x v="0"/>
    <x v="0"/>
    <x v="1"/>
    <x v="0"/>
    <x v="1"/>
    <x v="1"/>
    <x v="12"/>
    <x v="0"/>
  </r>
  <r>
    <s v="TX502355"/>
    <x v="9"/>
    <x v="8"/>
    <n v="60.4"/>
    <n v="483.2"/>
    <d v="2025-03-28T00:00:00"/>
    <d v="2025-03-30T00:00:00"/>
    <x v="2"/>
    <x v="3"/>
    <x v="2"/>
    <x v="0"/>
    <x v="2"/>
    <x v="1"/>
    <x v="12"/>
    <x v="2"/>
  </r>
  <r>
    <s v="TX502356"/>
    <x v="6"/>
    <x v="12"/>
    <n v="86"/>
    <n v="344"/>
    <d v="2025-03-28T00:00:00"/>
    <d v="2025-03-31T00:00:00"/>
    <x v="2"/>
    <x v="2"/>
    <x v="2"/>
    <x v="0"/>
    <x v="22"/>
    <x v="2"/>
    <x v="12"/>
    <x v="2"/>
  </r>
  <r>
    <s v="TX502357"/>
    <x v="12"/>
    <x v="1"/>
    <n v="42.1"/>
    <n v="84.2"/>
    <d v="2025-03-28T00:00:00"/>
    <d v="2025-03-29T00:00:00"/>
    <x v="2"/>
    <x v="4"/>
    <x v="1"/>
    <x v="0"/>
    <x v="34"/>
    <x v="3"/>
    <x v="12"/>
    <x v="2"/>
  </r>
  <r>
    <s v="TX502358"/>
    <x v="16"/>
    <x v="11"/>
    <n v="51.1"/>
    <n v="459.90000000000003"/>
    <d v="2025-03-28T00:00:00"/>
    <d v="2025-03-29T00:00:00"/>
    <x v="1"/>
    <x v="2"/>
    <x v="1"/>
    <x v="0"/>
    <x v="3"/>
    <x v="3"/>
    <x v="12"/>
    <x v="1"/>
  </r>
  <r>
    <s v="TX502359"/>
    <x v="9"/>
    <x v="12"/>
    <n v="73.8"/>
    <n v="295.2"/>
    <d v="2025-03-28T00:00:00"/>
    <d v="2025-03-29T00:00:00"/>
    <x v="1"/>
    <x v="4"/>
    <x v="0"/>
    <x v="0"/>
    <x v="3"/>
    <x v="3"/>
    <x v="12"/>
    <x v="1"/>
  </r>
  <r>
    <s v="TX502360"/>
    <x v="8"/>
    <x v="9"/>
    <n v="27"/>
    <n v="135"/>
    <d v="2025-03-28T00:00:00"/>
    <d v="2025-03-31T00:00:00"/>
    <x v="2"/>
    <x v="2"/>
    <x v="2"/>
    <x v="0"/>
    <x v="3"/>
    <x v="2"/>
    <x v="12"/>
    <x v="2"/>
  </r>
  <r>
    <s v="TX502361"/>
    <x v="8"/>
    <x v="13"/>
    <n v="60.1"/>
    <n v="360.6"/>
    <d v="2025-03-28T00:00:00"/>
    <d v="2025-03-29T00:00:00"/>
    <x v="1"/>
    <x v="3"/>
    <x v="0"/>
    <x v="0"/>
    <x v="3"/>
    <x v="3"/>
    <x v="12"/>
    <x v="1"/>
  </r>
  <r>
    <s v="TX502362"/>
    <x v="2"/>
    <x v="3"/>
    <n v="94.1"/>
    <n v="658.69999999999993"/>
    <d v="2025-03-28T00:00:00"/>
    <d v="2025-03-30T00:00:00"/>
    <x v="2"/>
    <x v="4"/>
    <x v="1"/>
    <x v="0"/>
    <x v="3"/>
    <x v="1"/>
    <x v="12"/>
    <x v="2"/>
  </r>
  <r>
    <s v="TX502363"/>
    <x v="2"/>
    <x v="1"/>
    <n v="124.1"/>
    <n v="248.2"/>
    <d v="2025-03-28T00:00:00"/>
    <d v="2025-03-28T00:00:00"/>
    <x v="2"/>
    <x v="2"/>
    <x v="3"/>
    <x v="0"/>
    <x v="43"/>
    <x v="7"/>
    <x v="12"/>
    <x v="2"/>
  </r>
  <r>
    <s v="TX502364"/>
    <x v="8"/>
    <x v="12"/>
    <n v="16.899999999999999"/>
    <n v="67.599999999999994"/>
    <d v="2025-03-28T00:00:00"/>
    <d v="2025-03-31T00:00:00"/>
    <x v="1"/>
    <x v="3"/>
    <x v="0"/>
    <x v="0"/>
    <x v="6"/>
    <x v="2"/>
    <x v="12"/>
    <x v="1"/>
  </r>
  <r>
    <s v="TX502365"/>
    <x v="1"/>
    <x v="0"/>
    <n v="36.9"/>
    <n v="36.9"/>
    <d v="2025-03-28T00:00:00"/>
    <d v="2025-03-29T00:00:00"/>
    <x v="1"/>
    <x v="0"/>
    <x v="0"/>
    <x v="0"/>
    <x v="6"/>
    <x v="3"/>
    <x v="12"/>
    <x v="1"/>
  </r>
  <r>
    <s v="TX502366"/>
    <x v="9"/>
    <x v="1"/>
    <n v="22.6"/>
    <n v="45.2"/>
    <d v="2025-03-28T00:00:00"/>
    <d v="2025-04-10T00:00:00"/>
    <x v="2"/>
    <x v="2"/>
    <x v="1"/>
    <x v="0"/>
    <x v="8"/>
    <x v="10"/>
    <x v="12"/>
    <x v="2"/>
  </r>
  <r>
    <s v="TX502367"/>
    <x v="7"/>
    <x v="12"/>
    <n v="35"/>
    <n v="140"/>
    <d v="2025-03-28T00:00:00"/>
    <d v="2025-04-02T00:00:00"/>
    <x v="1"/>
    <x v="3"/>
    <x v="1"/>
    <x v="0"/>
    <x v="8"/>
    <x v="0"/>
    <x v="12"/>
    <x v="1"/>
  </r>
  <r>
    <s v="TX502368"/>
    <x v="9"/>
    <x v="13"/>
    <n v="63.6"/>
    <n v="381.6"/>
    <d v="2025-03-28T00:00:00"/>
    <d v="2025-04-04T00:00:00"/>
    <x v="0"/>
    <x v="1"/>
    <x v="2"/>
    <x v="0"/>
    <x v="8"/>
    <x v="6"/>
    <x v="12"/>
    <x v="0"/>
  </r>
  <r>
    <s v="TX502369"/>
    <x v="15"/>
    <x v="12"/>
    <n v="78.599999999999994"/>
    <n v="314.39999999999998"/>
    <d v="2025-03-28T00:00:00"/>
    <d v="2025-03-29T00:00:00"/>
    <x v="1"/>
    <x v="4"/>
    <x v="1"/>
    <x v="0"/>
    <x v="8"/>
    <x v="3"/>
    <x v="12"/>
    <x v="1"/>
  </r>
  <r>
    <s v="TX502370"/>
    <x v="3"/>
    <x v="1"/>
    <n v="38.5"/>
    <n v="77"/>
    <d v="2025-03-28T00:00:00"/>
    <d v="2025-03-29T00:00:00"/>
    <x v="1"/>
    <x v="0"/>
    <x v="2"/>
    <x v="0"/>
    <x v="8"/>
    <x v="3"/>
    <x v="12"/>
    <x v="1"/>
  </r>
  <r>
    <s v="TX502371"/>
    <x v="8"/>
    <x v="5"/>
    <n v="71.5"/>
    <n v="786.5"/>
    <d v="2025-03-28T00:00:00"/>
    <d v="2025-03-29T00:00:00"/>
    <x v="2"/>
    <x v="1"/>
    <x v="4"/>
    <x v="0"/>
    <x v="8"/>
    <x v="3"/>
    <x v="12"/>
    <x v="2"/>
  </r>
  <r>
    <s v="TX502372"/>
    <x v="6"/>
    <x v="12"/>
    <n v="121.4"/>
    <n v="485.6"/>
    <d v="2025-03-28T00:00:00"/>
    <d v="2025-04-01T00:00:00"/>
    <x v="1"/>
    <x v="1"/>
    <x v="2"/>
    <x v="0"/>
    <x v="17"/>
    <x v="5"/>
    <x v="12"/>
    <x v="1"/>
  </r>
  <r>
    <s v="TX502373"/>
    <x v="11"/>
    <x v="0"/>
    <n v="40.200000000000003"/>
    <n v="40.200000000000003"/>
    <d v="2025-03-28T00:00:00"/>
    <d v="2025-03-31T00:00:00"/>
    <x v="2"/>
    <x v="0"/>
    <x v="2"/>
    <x v="0"/>
    <x v="11"/>
    <x v="2"/>
    <x v="12"/>
    <x v="2"/>
  </r>
  <r>
    <s v="TX502374"/>
    <x v="5"/>
    <x v="9"/>
    <n v="31.9"/>
    <n v="159.5"/>
    <d v="2025-03-28T00:00:00"/>
    <d v="2025-03-30T00:00:00"/>
    <x v="2"/>
    <x v="2"/>
    <x v="2"/>
    <x v="0"/>
    <x v="28"/>
    <x v="1"/>
    <x v="12"/>
    <x v="2"/>
  </r>
  <r>
    <s v="TX502375"/>
    <x v="14"/>
    <x v="9"/>
    <n v="15.8"/>
    <n v="79"/>
    <d v="2025-03-29T00:00:00"/>
    <d v="2025-03-30T00:00:00"/>
    <x v="1"/>
    <x v="3"/>
    <x v="2"/>
    <x v="0"/>
    <x v="21"/>
    <x v="3"/>
    <x v="12"/>
    <x v="1"/>
  </r>
  <r>
    <s v="TX502376"/>
    <x v="10"/>
    <x v="1"/>
    <n v="25.1"/>
    <n v="50.2"/>
    <d v="2025-03-29T00:00:00"/>
    <d v="2025-03-31T00:00:00"/>
    <x v="0"/>
    <x v="1"/>
    <x v="0"/>
    <x v="0"/>
    <x v="21"/>
    <x v="1"/>
    <x v="12"/>
    <x v="0"/>
  </r>
  <r>
    <s v="TX502377"/>
    <x v="1"/>
    <x v="44"/>
    <n v="38.1"/>
    <n v="876.30000000000007"/>
    <d v="2025-03-29T00:00:00"/>
    <d v="2025-03-30T00:00:00"/>
    <x v="2"/>
    <x v="4"/>
    <x v="0"/>
    <x v="0"/>
    <x v="1"/>
    <x v="3"/>
    <x v="12"/>
    <x v="2"/>
  </r>
  <r>
    <s v="TX502378"/>
    <x v="3"/>
    <x v="1"/>
    <n v="42.2"/>
    <n v="84.4"/>
    <d v="2025-03-29T00:00:00"/>
    <d v="2025-03-31T00:00:00"/>
    <x v="2"/>
    <x v="0"/>
    <x v="2"/>
    <x v="0"/>
    <x v="1"/>
    <x v="1"/>
    <x v="12"/>
    <x v="2"/>
  </r>
  <r>
    <s v="TX502379"/>
    <x v="0"/>
    <x v="7"/>
    <n v="12.3"/>
    <n v="123"/>
    <d v="2025-03-29T00:00:00"/>
    <d v="2025-03-30T00:00:00"/>
    <x v="2"/>
    <x v="4"/>
    <x v="0"/>
    <x v="0"/>
    <x v="2"/>
    <x v="3"/>
    <x v="12"/>
    <x v="2"/>
  </r>
  <r>
    <s v="TX502380"/>
    <x v="7"/>
    <x v="0"/>
    <n v="30.2"/>
    <n v="30.2"/>
    <d v="2025-03-29T00:00:00"/>
    <d v="2025-03-31T00:00:00"/>
    <x v="2"/>
    <x v="1"/>
    <x v="2"/>
    <x v="0"/>
    <x v="34"/>
    <x v="1"/>
    <x v="12"/>
    <x v="2"/>
  </r>
  <r>
    <s v="TX502381"/>
    <x v="5"/>
    <x v="2"/>
    <n v="25.3"/>
    <n v="75.900000000000006"/>
    <d v="2025-03-29T00:00:00"/>
    <d v="2025-04-01T00:00:00"/>
    <x v="2"/>
    <x v="2"/>
    <x v="0"/>
    <x v="0"/>
    <x v="3"/>
    <x v="2"/>
    <x v="12"/>
    <x v="2"/>
  </r>
  <r>
    <s v="TX502382"/>
    <x v="8"/>
    <x v="9"/>
    <n v="29.7"/>
    <n v="148.5"/>
    <d v="2025-03-29T00:00:00"/>
    <d v="2025-03-31T00:00:00"/>
    <x v="1"/>
    <x v="3"/>
    <x v="0"/>
    <x v="0"/>
    <x v="3"/>
    <x v="1"/>
    <x v="12"/>
    <x v="1"/>
  </r>
  <r>
    <s v="TX502383"/>
    <x v="9"/>
    <x v="8"/>
    <n v="32.9"/>
    <n v="263.2"/>
    <d v="2025-03-29T00:00:00"/>
    <d v="2025-03-30T00:00:00"/>
    <x v="0"/>
    <x v="3"/>
    <x v="2"/>
    <x v="0"/>
    <x v="3"/>
    <x v="3"/>
    <x v="12"/>
    <x v="0"/>
  </r>
  <r>
    <s v="TX502384"/>
    <x v="10"/>
    <x v="1"/>
    <n v="43.6"/>
    <n v="87.2"/>
    <d v="2025-03-29T00:00:00"/>
    <d v="2025-03-30T00:00:00"/>
    <x v="1"/>
    <x v="1"/>
    <x v="2"/>
    <x v="0"/>
    <x v="3"/>
    <x v="3"/>
    <x v="12"/>
    <x v="1"/>
  </r>
  <r>
    <s v="TX502385"/>
    <x v="15"/>
    <x v="12"/>
    <n v="78.400000000000006"/>
    <n v="313.60000000000002"/>
    <d v="2025-03-29T00:00:00"/>
    <d v="2025-03-30T00:00:00"/>
    <x v="1"/>
    <x v="2"/>
    <x v="0"/>
    <x v="0"/>
    <x v="3"/>
    <x v="3"/>
    <x v="12"/>
    <x v="1"/>
  </r>
  <r>
    <s v="TX502386"/>
    <x v="6"/>
    <x v="1"/>
    <n v="56.5"/>
    <n v="113"/>
    <d v="2025-03-29T00:00:00"/>
    <d v="2025-04-02T00:00:00"/>
    <x v="1"/>
    <x v="1"/>
    <x v="1"/>
    <x v="0"/>
    <x v="3"/>
    <x v="5"/>
    <x v="12"/>
    <x v="1"/>
  </r>
  <r>
    <s v="TX502387"/>
    <x v="16"/>
    <x v="0"/>
    <n v="36.700000000000003"/>
    <n v="36.700000000000003"/>
    <d v="2025-03-29T00:00:00"/>
    <d v="2025-03-30T00:00:00"/>
    <x v="2"/>
    <x v="0"/>
    <x v="2"/>
    <x v="0"/>
    <x v="3"/>
    <x v="3"/>
    <x v="12"/>
    <x v="2"/>
  </r>
  <r>
    <s v="TX502388"/>
    <x v="2"/>
    <x v="12"/>
    <n v="103.6"/>
    <n v="414.4"/>
    <d v="2025-03-29T00:00:00"/>
    <d v="2025-04-09T00:00:00"/>
    <x v="1"/>
    <x v="4"/>
    <x v="2"/>
    <x v="0"/>
    <x v="3"/>
    <x v="11"/>
    <x v="12"/>
    <x v="1"/>
  </r>
  <r>
    <s v="TX502389"/>
    <x v="8"/>
    <x v="13"/>
    <n v="16.2"/>
    <n v="97.199999999999989"/>
    <d v="2025-03-29T00:00:00"/>
    <d v="2025-04-02T00:00:00"/>
    <x v="1"/>
    <x v="1"/>
    <x v="2"/>
    <x v="0"/>
    <x v="6"/>
    <x v="5"/>
    <x v="12"/>
    <x v="1"/>
  </r>
  <r>
    <s v="TX502390"/>
    <x v="8"/>
    <x v="1"/>
    <n v="20.2"/>
    <n v="40.4"/>
    <d v="2025-03-29T00:00:00"/>
    <d v="2025-03-30T00:00:00"/>
    <x v="2"/>
    <x v="0"/>
    <x v="0"/>
    <x v="0"/>
    <x v="6"/>
    <x v="3"/>
    <x v="12"/>
    <x v="2"/>
  </r>
  <r>
    <s v="TX502391"/>
    <x v="11"/>
    <x v="1"/>
    <n v="26.9"/>
    <n v="53.8"/>
    <d v="2025-03-29T00:00:00"/>
    <d v="2025-03-31T00:00:00"/>
    <x v="2"/>
    <x v="2"/>
    <x v="0"/>
    <x v="0"/>
    <x v="6"/>
    <x v="1"/>
    <x v="12"/>
    <x v="2"/>
  </r>
  <r>
    <s v="TX502392"/>
    <x v="1"/>
    <x v="1"/>
    <n v="82.4"/>
    <n v="164.8"/>
    <d v="2025-03-29T00:00:00"/>
    <d v="2025-04-01T00:00:00"/>
    <x v="0"/>
    <x v="0"/>
    <x v="0"/>
    <x v="0"/>
    <x v="7"/>
    <x v="2"/>
    <x v="12"/>
    <x v="0"/>
  </r>
  <r>
    <s v="TX502393"/>
    <x v="2"/>
    <x v="1"/>
    <n v="117.8"/>
    <n v="235.6"/>
    <d v="2025-03-29T00:00:00"/>
    <d v="2025-03-31T00:00:00"/>
    <x v="1"/>
    <x v="1"/>
    <x v="2"/>
    <x v="0"/>
    <x v="8"/>
    <x v="1"/>
    <x v="12"/>
    <x v="1"/>
  </r>
  <r>
    <s v="TX502394"/>
    <x v="11"/>
    <x v="12"/>
    <n v="36.700000000000003"/>
    <n v="146.80000000000001"/>
    <d v="2025-03-29T00:00:00"/>
    <d v="2025-03-30T00:00:00"/>
    <x v="1"/>
    <x v="1"/>
    <x v="0"/>
    <x v="0"/>
    <x v="8"/>
    <x v="3"/>
    <x v="12"/>
    <x v="1"/>
  </r>
  <r>
    <s v="TX502395"/>
    <x v="17"/>
    <x v="2"/>
    <n v="46.8"/>
    <n v="140.39999999999998"/>
    <d v="2025-03-29T00:00:00"/>
    <d v="2025-03-30T00:00:00"/>
    <x v="1"/>
    <x v="4"/>
    <x v="2"/>
    <x v="0"/>
    <x v="10"/>
    <x v="3"/>
    <x v="12"/>
    <x v="1"/>
  </r>
  <r>
    <s v="TX502396"/>
    <x v="3"/>
    <x v="0"/>
    <n v="61.4"/>
    <n v="61.4"/>
    <d v="2025-03-29T00:00:00"/>
    <d v="2025-03-30T00:00:00"/>
    <x v="1"/>
    <x v="1"/>
    <x v="0"/>
    <x v="0"/>
    <x v="10"/>
    <x v="3"/>
    <x v="12"/>
    <x v="1"/>
  </r>
  <r>
    <s v="TX502397"/>
    <x v="15"/>
    <x v="1"/>
    <n v="22.9"/>
    <n v="45.8"/>
    <d v="2025-03-29T00:00:00"/>
    <d v="2025-03-30T00:00:00"/>
    <x v="1"/>
    <x v="0"/>
    <x v="0"/>
    <x v="0"/>
    <x v="11"/>
    <x v="3"/>
    <x v="12"/>
    <x v="1"/>
  </r>
  <r>
    <s v="TX502398"/>
    <x v="10"/>
    <x v="1"/>
    <n v="22.1"/>
    <n v="44.2"/>
    <d v="2025-03-29T00:00:00"/>
    <d v="2025-03-30T00:00:00"/>
    <x v="2"/>
    <x v="4"/>
    <x v="0"/>
    <x v="0"/>
    <x v="11"/>
    <x v="3"/>
    <x v="12"/>
    <x v="2"/>
  </r>
  <r>
    <s v="TX502399"/>
    <x v="12"/>
    <x v="1"/>
    <n v="31"/>
    <n v="62"/>
    <d v="2025-03-29T00:00:00"/>
    <d v="2025-03-31T00:00:00"/>
    <x v="2"/>
    <x v="2"/>
    <x v="0"/>
    <x v="0"/>
    <x v="18"/>
    <x v="1"/>
    <x v="12"/>
    <x v="2"/>
  </r>
  <r>
    <s v="TX502400"/>
    <x v="18"/>
    <x v="1"/>
    <n v="84.2"/>
    <n v="168.4"/>
    <d v="2025-03-29T00:00:00"/>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AB7B1D-B21F-4419-A152-B46E0521BF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12:D26"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14">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EC3AC5-6BC8-47FD-8721-C70ACA9AFE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Total Orders" fld="0" subtotal="count" baseField="0" baseItem="1"/>
    <dataField name="Average of Days to Deliver" fld="12" subtotal="average" baseField="0" baseItem="1"/>
    <dataField name="Total Quantity" fld="2" baseField="0" baseItem="2"/>
    <dataField name="Sum of Amount" fld="4" baseField="0" baseItem="0"/>
    <dataField name="Average of Rating C" fld="9"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16ED57-1C7B-4BA5-A674-8D2083F7D9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B8AF9-E565-477E-8A7B-B2B1A743D1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 ">
  <location ref="A3:B19"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 to 10" sd="0" x="5"/>
        <item n="more than 10" x="6"/>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8">
    <chartFormat chart="5" format="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6D2F58-4FC5-4190-85C0-1A29CB422B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 ">
  <location ref="O2:T24"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sd="0" x="5"/>
        <item n="more than 10" x="6"/>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24">
    <chartFormat chart="16" format="0" series="1">
      <pivotArea type="data" outline="0" fieldPosition="0">
        <references count="2">
          <reference field="4294967294" count="1" selected="0">
            <x v="0"/>
          </reference>
          <reference field="14" count="1" selected="0">
            <x v="0"/>
          </reference>
        </references>
      </pivotArea>
    </chartFormat>
    <chartFormat chart="16" format="1" series="1">
      <pivotArea type="data" outline="0" fieldPosition="0">
        <references count="2">
          <reference field="4294967294" count="1" selected="0">
            <x v="0"/>
          </reference>
          <reference field="14" count="1" selected="0">
            <x v="1"/>
          </reference>
        </references>
      </pivotArea>
    </chartFormat>
    <chartFormat chart="16" format="2" series="1">
      <pivotArea type="data" outline="0" fieldPosition="0">
        <references count="2">
          <reference field="4294967294" count="1" selected="0">
            <x v="0"/>
          </reference>
          <reference field="14" count="1" selected="0">
            <x v="2"/>
          </reference>
        </references>
      </pivotArea>
    </chartFormat>
    <chartFormat chart="16" format="3" series="1">
      <pivotArea type="data" outline="0" fieldPosition="0">
        <references count="2">
          <reference field="4294967294" count="1" selected="0">
            <x v="0"/>
          </reference>
          <reference field="14" count="1" selected="0">
            <x v="3"/>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 chart="18" format="6" series="1">
      <pivotArea type="data" outline="0" fieldPosition="0">
        <references count="2">
          <reference field="4294967294" count="1" selected="0">
            <x v="0"/>
          </reference>
          <reference field="14" count="1" selected="0">
            <x v="2"/>
          </reference>
        </references>
      </pivotArea>
    </chartFormat>
    <chartFormat chart="18" format="7" series="1">
      <pivotArea type="data" outline="0" fieldPosition="0">
        <references count="2">
          <reference field="4294967294" count="1" selected="0">
            <x v="0"/>
          </reference>
          <reference field="14" count="1" selected="0">
            <x v="3"/>
          </reference>
        </references>
      </pivotArea>
    </chartFormat>
    <chartFormat chart="19" format="8" series="1">
      <pivotArea type="data" outline="0" fieldPosition="0">
        <references count="2">
          <reference field="4294967294" count="1" selected="0">
            <x v="0"/>
          </reference>
          <reference field="14" count="1" selected="0">
            <x v="0"/>
          </reference>
        </references>
      </pivotArea>
    </chartFormat>
    <chartFormat chart="19" format="9" series="1">
      <pivotArea type="data" outline="0" fieldPosition="0">
        <references count="2">
          <reference field="4294967294" count="1" selected="0">
            <x v="0"/>
          </reference>
          <reference field="14" count="1" selected="0">
            <x v="1"/>
          </reference>
        </references>
      </pivotArea>
    </chartFormat>
    <chartFormat chart="19" format="10" series="1">
      <pivotArea type="data" outline="0" fieldPosition="0">
        <references count="2">
          <reference field="4294967294" count="1" selected="0">
            <x v="0"/>
          </reference>
          <reference field="14" count="1" selected="0">
            <x v="2"/>
          </reference>
        </references>
      </pivotArea>
    </chartFormat>
    <chartFormat chart="19" format="11" series="1">
      <pivotArea type="data" outline="0" fieldPosition="0">
        <references count="2">
          <reference field="4294967294" count="1" selected="0">
            <x v="0"/>
          </reference>
          <reference field="14" count="1" selected="0">
            <x v="3"/>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series="1">
      <pivotArea type="data" outline="0" fieldPosition="0">
        <references count="2">
          <reference field="4294967294" count="1" selected="0">
            <x v="0"/>
          </reference>
          <reference field="14" count="1" selected="0">
            <x v="2"/>
          </reference>
        </references>
      </pivotArea>
    </chartFormat>
    <chartFormat chart="20" format="11" series="1">
      <pivotArea type="data" outline="0" fieldPosition="0">
        <references count="2">
          <reference field="4294967294" count="1" selected="0">
            <x v="0"/>
          </reference>
          <reference field="14" count="1" selected="0">
            <x v="3"/>
          </reference>
        </references>
      </pivotArea>
    </chartFormat>
    <chartFormat chart="25" format="12" series="1">
      <pivotArea type="data" outline="0" fieldPosition="0">
        <references count="2">
          <reference field="4294967294" count="1" selected="0">
            <x v="0"/>
          </reference>
          <reference field="14" count="1" selected="0">
            <x v="0"/>
          </reference>
        </references>
      </pivotArea>
    </chartFormat>
    <chartFormat chart="25" format="13" series="1">
      <pivotArea type="data" outline="0" fieldPosition="0">
        <references count="2">
          <reference field="4294967294" count="1" selected="0">
            <x v="0"/>
          </reference>
          <reference field="14" count="1" selected="0">
            <x v="1"/>
          </reference>
        </references>
      </pivotArea>
    </chartFormat>
    <chartFormat chart="25" format="14" series="1">
      <pivotArea type="data" outline="0" fieldPosition="0">
        <references count="2">
          <reference field="4294967294" count="1" selected="0">
            <x v="0"/>
          </reference>
          <reference field="14" count="1" selected="0">
            <x v="2"/>
          </reference>
        </references>
      </pivotArea>
    </chartFormat>
    <chartFormat chart="25" format="15" series="1">
      <pivotArea type="data" outline="0" fieldPosition="0">
        <references count="2">
          <reference field="4294967294" count="1" selected="0">
            <x v="0"/>
          </reference>
          <reference field="14" count="1" selected="0">
            <x v="3"/>
          </reference>
        </references>
      </pivotArea>
    </chartFormat>
    <chartFormat chart="26" format="16" series="1">
      <pivotArea type="data" outline="0" fieldPosition="0">
        <references count="2">
          <reference field="4294967294" count="1" selected="0">
            <x v="0"/>
          </reference>
          <reference field="14" count="1" selected="0">
            <x v="0"/>
          </reference>
        </references>
      </pivotArea>
    </chartFormat>
    <chartFormat chart="26" format="17" series="1">
      <pivotArea type="data" outline="0" fieldPosition="0">
        <references count="2">
          <reference field="4294967294" count="1" selected="0">
            <x v="0"/>
          </reference>
          <reference field="14" count="1" selected="0">
            <x v="1"/>
          </reference>
        </references>
      </pivotArea>
    </chartFormat>
    <chartFormat chart="26" format="18" series="1">
      <pivotArea type="data" outline="0" fieldPosition="0">
        <references count="2">
          <reference field="4294967294" count="1" selected="0">
            <x v="0"/>
          </reference>
          <reference field="14" count="1" selected="0">
            <x v="2"/>
          </reference>
        </references>
      </pivotArea>
    </chartFormat>
    <chartFormat chart="26"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843932-C4F1-428F-BA74-BEEDEF850B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3"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items count="6">
        <item x="0"/>
        <item x="2"/>
        <item x="1"/>
        <item x="3"/>
        <item x="4"/>
        <item t="default"/>
      </items>
    </pivotField>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s>
  <rowFields count="1">
    <field x="9"/>
  </rowFields>
  <rowItems count="6">
    <i>
      <x/>
    </i>
    <i>
      <x v="1"/>
    </i>
    <i>
      <x v="2"/>
    </i>
    <i>
      <x v="3"/>
    </i>
    <i>
      <x v="4"/>
    </i>
    <i t="grand">
      <x/>
    </i>
  </rowItems>
  <colItems count="1">
    <i/>
  </colItems>
  <dataFields count="1">
    <dataField name="Count of TX ID" fld="0" subtotal="count" baseField="0" baseItem="0"/>
  </dataFields>
  <chartFormats count="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822A06-BD99-4F98-B3F9-5EC3919068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items count="6">
        <item x="0"/>
        <item x="2"/>
        <item x="1"/>
        <item x="3"/>
        <item x="4"/>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4" count="1" selected="0">
            <x v="0"/>
          </reference>
        </references>
      </pivotArea>
    </chartFormat>
    <chartFormat chart="6" format="12">
      <pivotArea type="data" outline="0" fieldPosition="0">
        <references count="2">
          <reference field="4294967294" count="1" selected="0">
            <x v="0"/>
          </reference>
          <reference field="14" count="1" selected="0">
            <x v="1"/>
          </reference>
        </references>
      </pivotArea>
    </chartFormat>
    <chartFormat chart="6" format="13">
      <pivotArea type="data" outline="0" fieldPosition="0">
        <references count="2">
          <reference field="4294967294" count="1" selected="0">
            <x v="0"/>
          </reference>
          <reference field="14" count="1" selected="0">
            <x v="2"/>
          </reference>
        </references>
      </pivotArea>
    </chartFormat>
    <chartFormat chart="6"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6F2244-DC69-46B5-99AC-79713F42BA8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5AB564F-B05B-42F4-B70C-BC8D681D5DF9}" sourceName="Order Mode">
  <pivotTables>
    <pivotTable tabId="13" name="PivotTable1"/>
    <pivotTable tabId="13" name="PivotTable3"/>
    <pivotTable tabId="5" name="PivotTable1"/>
    <pivotTable tabId="5" name="PivotTable2"/>
    <pivotTable tabId="14" name="PivotTable4"/>
    <pivotTable tabId="12" name="PivotTable1"/>
    <pivotTable tabId="12" name="PivotTable2"/>
    <pivotTable tabId="11" name="PivotTable3"/>
  </pivotTables>
  <data>
    <tabular pivotCacheId="355869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3743C00-639B-4FA0-95E4-7D2FDD5A94EF}" sourceName="Gender Value">
  <pivotTables>
    <pivotTable tabId="13" name="PivotTable1"/>
    <pivotTable tabId="13" name="PivotTable3"/>
    <pivotTable tabId="5" name="PivotTable1"/>
    <pivotTable tabId="12" name="PivotTable1"/>
    <pivotTable tabId="12" name="PivotTable2"/>
    <pivotTable tabId="11" name="PivotTable3"/>
  </pivotTables>
  <data>
    <tabular pivotCacheId="355869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8BC15C2-97E5-47FF-98D3-D78FAFFC5F12}" cache="Slicer_Order_Mode" caption="Order Mode" rowHeight="247650"/>
  <slicer name="Gender Value" xr10:uid="{FE46A1DC-B05A-4A2D-BDE5-A1912A87466D}"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ableColumns count="15">
    <tableColumn id="1" xr3:uid="{835BDA26-C722-4E6F-9298-258C54C0B701}" name="TX ID" totalsRowLabel="Total"/>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totalsRowFunction="count"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5090-A9A1-41CB-AB02-FAFD7710B20B}">
  <dimension ref="A1:G2403"/>
  <sheetViews>
    <sheetView workbookViewId="0">
      <selection activeCell="A3" sqref="A3:O2403"/>
    </sheetView>
  </sheetViews>
  <sheetFormatPr defaultRowHeight="14.4" x14ac:dyDescent="0.3"/>
  <cols>
    <col min="1" max="1" width="9" bestFit="1" customWidth="1"/>
    <col min="2" max="2" width="19.10937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19.6640625" bestFit="1" customWidth="1"/>
    <col min="13" max="13" width="15.5546875" bestFit="1" customWidth="1"/>
    <col min="14" max="14" width="11.5546875" bestFit="1" customWidth="1"/>
    <col min="15" max="15" width="14.33203125" bestFit="1" customWidth="1"/>
  </cols>
  <sheetData>
    <row r="1" spans="1:7" x14ac:dyDescent="0.3">
      <c r="A1" s="6" t="s">
        <v>2532</v>
      </c>
    </row>
    <row r="4" spans="1:7" x14ac:dyDescent="0.3">
      <c r="F4" s="5"/>
      <c r="G4" s="5"/>
    </row>
    <row r="5" spans="1:7" x14ac:dyDescent="0.3">
      <c r="F5" s="5"/>
      <c r="G5" s="5"/>
    </row>
    <row r="6" spans="1:7" x14ac:dyDescent="0.3">
      <c r="F6" s="5"/>
      <c r="G6" s="5"/>
    </row>
    <row r="7" spans="1:7" x14ac:dyDescent="0.3">
      <c r="F7" s="5"/>
      <c r="G7" s="5"/>
    </row>
    <row r="8" spans="1:7" x14ac:dyDescent="0.3">
      <c r="F8" s="5"/>
      <c r="G8" s="5"/>
    </row>
    <row r="9" spans="1:7" x14ac:dyDescent="0.3">
      <c r="F9" s="5"/>
      <c r="G9" s="5"/>
    </row>
    <row r="10" spans="1:7" x14ac:dyDescent="0.3">
      <c r="F10" s="5"/>
      <c r="G10" s="5"/>
    </row>
    <row r="11" spans="1:7" x14ac:dyDescent="0.3">
      <c r="F11" s="5"/>
      <c r="G11" s="5"/>
    </row>
    <row r="12" spans="1:7" x14ac:dyDescent="0.3">
      <c r="F12" s="5"/>
      <c r="G12" s="5"/>
    </row>
    <row r="13" spans="1:7" x14ac:dyDescent="0.3">
      <c r="F13" s="5"/>
      <c r="G13" s="5"/>
    </row>
    <row r="14" spans="1:7" x14ac:dyDescent="0.3">
      <c r="F14" s="5"/>
      <c r="G14" s="5"/>
    </row>
    <row r="15" spans="1:7" x14ac:dyDescent="0.3">
      <c r="F15" s="5"/>
      <c r="G15" s="5"/>
    </row>
    <row r="16" spans="1:7" x14ac:dyDescent="0.3">
      <c r="F16" s="5"/>
      <c r="G16" s="5"/>
    </row>
    <row r="17" spans="6:7" x14ac:dyDescent="0.3">
      <c r="F17" s="5"/>
      <c r="G17" s="5"/>
    </row>
    <row r="18" spans="6:7" x14ac:dyDescent="0.3">
      <c r="F18" s="5"/>
      <c r="G18" s="5"/>
    </row>
    <row r="19" spans="6:7" x14ac:dyDescent="0.3">
      <c r="F19" s="5"/>
      <c r="G19" s="5"/>
    </row>
    <row r="20" spans="6:7" x14ac:dyDescent="0.3">
      <c r="F20" s="5"/>
      <c r="G20" s="5"/>
    </row>
    <row r="21" spans="6:7" x14ac:dyDescent="0.3">
      <c r="F21" s="5"/>
      <c r="G21" s="5"/>
    </row>
    <row r="22" spans="6:7" x14ac:dyDescent="0.3">
      <c r="F22" s="5"/>
      <c r="G22" s="5"/>
    </row>
    <row r="23" spans="6:7" x14ac:dyDescent="0.3">
      <c r="F23" s="5"/>
      <c r="G23" s="5"/>
    </row>
    <row r="24" spans="6:7" x14ac:dyDescent="0.3">
      <c r="F24" s="5"/>
      <c r="G24" s="5"/>
    </row>
    <row r="25" spans="6:7" x14ac:dyDescent="0.3">
      <c r="F25" s="5"/>
      <c r="G25" s="5"/>
    </row>
    <row r="26" spans="6:7" x14ac:dyDescent="0.3">
      <c r="F26" s="5"/>
      <c r="G26" s="5"/>
    </row>
    <row r="27" spans="6:7" x14ac:dyDescent="0.3">
      <c r="F27" s="5"/>
      <c r="G27" s="5"/>
    </row>
    <row r="28" spans="6:7" x14ac:dyDescent="0.3">
      <c r="F28" s="5"/>
      <c r="G28" s="5"/>
    </row>
    <row r="29" spans="6:7" x14ac:dyDescent="0.3">
      <c r="F29" s="5"/>
      <c r="G29" s="5"/>
    </row>
    <row r="30" spans="6:7" x14ac:dyDescent="0.3">
      <c r="F30" s="5"/>
      <c r="G30" s="5"/>
    </row>
    <row r="31" spans="6:7" x14ac:dyDescent="0.3">
      <c r="F31" s="5"/>
      <c r="G31" s="5"/>
    </row>
    <row r="32" spans="6:7" x14ac:dyDescent="0.3">
      <c r="F32" s="5"/>
      <c r="G32" s="5"/>
    </row>
    <row r="33" spans="6:7" x14ac:dyDescent="0.3">
      <c r="F33" s="5"/>
      <c r="G33" s="5"/>
    </row>
    <row r="34" spans="6:7" x14ac:dyDescent="0.3">
      <c r="F34" s="5"/>
      <c r="G34" s="5"/>
    </row>
    <row r="35" spans="6:7" x14ac:dyDescent="0.3">
      <c r="F35" s="5"/>
      <c r="G35" s="5"/>
    </row>
    <row r="36" spans="6:7" x14ac:dyDescent="0.3">
      <c r="F36" s="5"/>
      <c r="G36" s="5"/>
    </row>
    <row r="37" spans="6:7" x14ac:dyDescent="0.3">
      <c r="F37" s="5"/>
      <c r="G37" s="5"/>
    </row>
    <row r="38" spans="6:7" x14ac:dyDescent="0.3">
      <c r="F38" s="5"/>
      <c r="G38" s="5"/>
    </row>
    <row r="39" spans="6:7" x14ac:dyDescent="0.3">
      <c r="F39" s="5"/>
      <c r="G39" s="5"/>
    </row>
    <row r="40" spans="6:7" x14ac:dyDescent="0.3">
      <c r="F40" s="5"/>
      <c r="G40" s="5"/>
    </row>
    <row r="41" spans="6:7" x14ac:dyDescent="0.3">
      <c r="F41" s="5"/>
      <c r="G41" s="5"/>
    </row>
    <row r="42" spans="6:7" x14ac:dyDescent="0.3">
      <c r="F42" s="5"/>
      <c r="G42" s="5"/>
    </row>
    <row r="43" spans="6:7" x14ac:dyDescent="0.3">
      <c r="F43" s="5"/>
      <c r="G43" s="5"/>
    </row>
    <row r="44" spans="6:7" x14ac:dyDescent="0.3">
      <c r="F44" s="5"/>
      <c r="G44" s="5"/>
    </row>
    <row r="45" spans="6:7" x14ac:dyDescent="0.3">
      <c r="F45" s="5"/>
      <c r="G45" s="5"/>
    </row>
    <row r="46" spans="6:7" x14ac:dyDescent="0.3">
      <c r="F46" s="5"/>
      <c r="G46" s="5"/>
    </row>
    <row r="47" spans="6:7" x14ac:dyDescent="0.3">
      <c r="F47" s="5"/>
      <c r="G47" s="5"/>
    </row>
    <row r="48" spans="6:7" x14ac:dyDescent="0.3">
      <c r="F48" s="5"/>
      <c r="G48" s="5"/>
    </row>
    <row r="49" spans="6:7" x14ac:dyDescent="0.3">
      <c r="F49" s="5"/>
      <c r="G49" s="5"/>
    </row>
    <row r="50" spans="6:7" x14ac:dyDescent="0.3">
      <c r="F50" s="5"/>
      <c r="G50" s="5"/>
    </row>
    <row r="51" spans="6:7" x14ac:dyDescent="0.3">
      <c r="F51" s="5"/>
      <c r="G51" s="5"/>
    </row>
    <row r="52" spans="6:7" x14ac:dyDescent="0.3">
      <c r="F52" s="5"/>
      <c r="G52" s="5"/>
    </row>
    <row r="53" spans="6:7" x14ac:dyDescent="0.3">
      <c r="F53" s="5"/>
      <c r="G53" s="5"/>
    </row>
    <row r="54" spans="6:7" x14ac:dyDescent="0.3">
      <c r="F54" s="5"/>
      <c r="G54" s="5"/>
    </row>
    <row r="55" spans="6:7" x14ac:dyDescent="0.3">
      <c r="F55" s="5"/>
      <c r="G55" s="5"/>
    </row>
    <row r="56" spans="6:7" x14ac:dyDescent="0.3">
      <c r="F56" s="5"/>
      <c r="G56" s="5"/>
    </row>
    <row r="57" spans="6:7" x14ac:dyDescent="0.3">
      <c r="F57" s="5"/>
      <c r="G57" s="5"/>
    </row>
    <row r="58" spans="6:7" x14ac:dyDescent="0.3">
      <c r="F58" s="5"/>
      <c r="G58" s="5"/>
    </row>
    <row r="59" spans="6:7" x14ac:dyDescent="0.3">
      <c r="F59" s="5"/>
      <c r="G59" s="5"/>
    </row>
    <row r="60" spans="6:7" x14ac:dyDescent="0.3">
      <c r="F60" s="5"/>
      <c r="G60" s="5"/>
    </row>
    <row r="61" spans="6:7" x14ac:dyDescent="0.3">
      <c r="F61" s="5"/>
      <c r="G61" s="5"/>
    </row>
    <row r="62" spans="6:7" x14ac:dyDescent="0.3">
      <c r="F62" s="5"/>
      <c r="G62" s="5"/>
    </row>
    <row r="63" spans="6:7" x14ac:dyDescent="0.3">
      <c r="F63" s="5"/>
      <c r="G63" s="5"/>
    </row>
    <row r="64" spans="6:7" x14ac:dyDescent="0.3">
      <c r="F64" s="5"/>
      <c r="G64" s="5"/>
    </row>
    <row r="65" spans="6:7" x14ac:dyDescent="0.3">
      <c r="F65" s="5"/>
      <c r="G65" s="5"/>
    </row>
    <row r="66" spans="6:7" x14ac:dyDescent="0.3">
      <c r="F66" s="5"/>
      <c r="G66" s="5"/>
    </row>
    <row r="67" spans="6:7" x14ac:dyDescent="0.3">
      <c r="F67" s="5"/>
      <c r="G67" s="5"/>
    </row>
    <row r="68" spans="6:7" x14ac:dyDescent="0.3">
      <c r="F68" s="5"/>
      <c r="G68" s="5"/>
    </row>
    <row r="69" spans="6:7" x14ac:dyDescent="0.3">
      <c r="F69" s="5"/>
      <c r="G69" s="5"/>
    </row>
    <row r="70" spans="6:7" x14ac:dyDescent="0.3">
      <c r="F70" s="5"/>
      <c r="G70" s="5"/>
    </row>
    <row r="71" spans="6:7" x14ac:dyDescent="0.3">
      <c r="F71" s="5"/>
      <c r="G71" s="5"/>
    </row>
    <row r="72" spans="6:7" x14ac:dyDescent="0.3">
      <c r="F72" s="5"/>
      <c r="G72" s="5"/>
    </row>
    <row r="73" spans="6:7" x14ac:dyDescent="0.3">
      <c r="F73" s="5"/>
      <c r="G73" s="5"/>
    </row>
    <row r="74" spans="6:7" x14ac:dyDescent="0.3">
      <c r="F74" s="5"/>
      <c r="G74" s="5"/>
    </row>
    <row r="75" spans="6:7" x14ac:dyDescent="0.3">
      <c r="F75" s="5"/>
      <c r="G75" s="5"/>
    </row>
    <row r="76" spans="6:7" x14ac:dyDescent="0.3">
      <c r="F76" s="5"/>
      <c r="G76" s="5"/>
    </row>
    <row r="77" spans="6:7" x14ac:dyDescent="0.3">
      <c r="F77" s="5"/>
      <c r="G77" s="5"/>
    </row>
    <row r="78" spans="6:7" x14ac:dyDescent="0.3">
      <c r="F78" s="5"/>
      <c r="G78" s="5"/>
    </row>
    <row r="79" spans="6:7" x14ac:dyDescent="0.3">
      <c r="F79" s="5"/>
      <c r="G79" s="5"/>
    </row>
    <row r="80" spans="6:7" x14ac:dyDescent="0.3">
      <c r="F80" s="5"/>
      <c r="G80" s="5"/>
    </row>
    <row r="81" spans="6:7" x14ac:dyDescent="0.3">
      <c r="F81" s="5"/>
      <c r="G81" s="5"/>
    </row>
    <row r="82" spans="6:7" x14ac:dyDescent="0.3">
      <c r="F82" s="5"/>
      <c r="G82" s="5"/>
    </row>
    <row r="83" spans="6:7" x14ac:dyDescent="0.3">
      <c r="F83" s="5"/>
      <c r="G83" s="5"/>
    </row>
    <row r="84" spans="6:7" x14ac:dyDescent="0.3">
      <c r="F84" s="5"/>
      <c r="G84" s="5"/>
    </row>
    <row r="85" spans="6:7" x14ac:dyDescent="0.3">
      <c r="F85" s="5"/>
      <c r="G85" s="5"/>
    </row>
    <row r="86" spans="6:7" x14ac:dyDescent="0.3">
      <c r="F86" s="5"/>
      <c r="G86" s="5"/>
    </row>
    <row r="87" spans="6:7" x14ac:dyDescent="0.3">
      <c r="F87" s="5"/>
      <c r="G87" s="5"/>
    </row>
    <row r="88" spans="6:7" x14ac:dyDescent="0.3">
      <c r="F88" s="5"/>
      <c r="G88" s="5"/>
    </row>
    <row r="89" spans="6:7" x14ac:dyDescent="0.3">
      <c r="F89" s="5"/>
      <c r="G89" s="5"/>
    </row>
    <row r="90" spans="6:7" x14ac:dyDescent="0.3">
      <c r="F90" s="5"/>
      <c r="G90" s="5"/>
    </row>
    <row r="91" spans="6:7" x14ac:dyDescent="0.3">
      <c r="F91" s="5"/>
      <c r="G91" s="5"/>
    </row>
    <row r="92" spans="6:7" x14ac:dyDescent="0.3">
      <c r="F92" s="5"/>
      <c r="G92" s="5"/>
    </row>
    <row r="93" spans="6:7" x14ac:dyDescent="0.3">
      <c r="F93" s="5"/>
      <c r="G93" s="5"/>
    </row>
    <row r="94" spans="6:7" x14ac:dyDescent="0.3">
      <c r="F94" s="5"/>
      <c r="G94" s="5"/>
    </row>
    <row r="95" spans="6:7" x14ac:dyDescent="0.3">
      <c r="F95" s="5"/>
      <c r="G95" s="5"/>
    </row>
    <row r="96" spans="6:7" x14ac:dyDescent="0.3">
      <c r="F96" s="5"/>
      <c r="G96" s="5"/>
    </row>
    <row r="97" spans="6:7" x14ac:dyDescent="0.3">
      <c r="F97" s="5"/>
      <c r="G97" s="5"/>
    </row>
    <row r="98" spans="6:7" x14ac:dyDescent="0.3">
      <c r="F98" s="5"/>
      <c r="G98" s="5"/>
    </row>
    <row r="99" spans="6:7" x14ac:dyDescent="0.3">
      <c r="F99" s="5"/>
      <c r="G99" s="5"/>
    </row>
    <row r="100" spans="6:7" x14ac:dyDescent="0.3">
      <c r="F100" s="5"/>
      <c r="G100" s="5"/>
    </row>
    <row r="101" spans="6:7" x14ac:dyDescent="0.3">
      <c r="F101" s="5"/>
      <c r="G101" s="5"/>
    </row>
    <row r="102" spans="6:7" x14ac:dyDescent="0.3">
      <c r="F102" s="5"/>
      <c r="G102" s="5"/>
    </row>
    <row r="103" spans="6:7" x14ac:dyDescent="0.3">
      <c r="F103" s="5"/>
      <c r="G103" s="5"/>
    </row>
    <row r="104" spans="6:7" x14ac:dyDescent="0.3">
      <c r="F104" s="5"/>
      <c r="G104" s="5"/>
    </row>
    <row r="105" spans="6:7" x14ac:dyDescent="0.3">
      <c r="F105" s="5"/>
      <c r="G105" s="5"/>
    </row>
    <row r="106" spans="6:7" x14ac:dyDescent="0.3">
      <c r="F106" s="5"/>
      <c r="G106" s="5"/>
    </row>
    <row r="107" spans="6:7" x14ac:dyDescent="0.3">
      <c r="F107" s="5"/>
      <c r="G107" s="5"/>
    </row>
    <row r="108" spans="6:7" x14ac:dyDescent="0.3">
      <c r="F108" s="5"/>
      <c r="G108" s="5"/>
    </row>
    <row r="109" spans="6:7" x14ac:dyDescent="0.3">
      <c r="F109" s="5"/>
      <c r="G109" s="5"/>
    </row>
    <row r="110" spans="6:7" x14ac:dyDescent="0.3">
      <c r="F110" s="5"/>
      <c r="G110" s="5"/>
    </row>
    <row r="111" spans="6:7" x14ac:dyDescent="0.3">
      <c r="F111" s="5"/>
      <c r="G111" s="5"/>
    </row>
    <row r="112" spans="6:7" x14ac:dyDescent="0.3">
      <c r="F112" s="5"/>
      <c r="G112" s="5"/>
    </row>
    <row r="113" spans="6:7" x14ac:dyDescent="0.3">
      <c r="F113" s="5"/>
      <c r="G113" s="5"/>
    </row>
    <row r="114" spans="6:7" x14ac:dyDescent="0.3">
      <c r="F114" s="5"/>
      <c r="G114" s="5"/>
    </row>
    <row r="115" spans="6:7" x14ac:dyDescent="0.3">
      <c r="F115" s="5"/>
      <c r="G115" s="5"/>
    </row>
    <row r="116" spans="6:7" x14ac:dyDescent="0.3">
      <c r="F116" s="5"/>
      <c r="G116" s="5"/>
    </row>
    <row r="117" spans="6:7" x14ac:dyDescent="0.3">
      <c r="F117" s="5"/>
      <c r="G117" s="5"/>
    </row>
    <row r="118" spans="6:7" x14ac:dyDescent="0.3">
      <c r="F118" s="5"/>
      <c r="G118" s="5"/>
    </row>
    <row r="119" spans="6:7" x14ac:dyDescent="0.3">
      <c r="F119" s="5"/>
      <c r="G119" s="5"/>
    </row>
    <row r="120" spans="6:7" x14ac:dyDescent="0.3">
      <c r="F120" s="5"/>
      <c r="G120" s="5"/>
    </row>
    <row r="121" spans="6:7" x14ac:dyDescent="0.3">
      <c r="F121" s="5"/>
      <c r="G121" s="5"/>
    </row>
    <row r="122" spans="6:7" x14ac:dyDescent="0.3">
      <c r="F122" s="5"/>
      <c r="G122" s="5"/>
    </row>
    <row r="123" spans="6:7" x14ac:dyDescent="0.3">
      <c r="F123" s="5"/>
      <c r="G123" s="5"/>
    </row>
    <row r="124" spans="6:7" x14ac:dyDescent="0.3">
      <c r="F124" s="5"/>
      <c r="G124" s="5"/>
    </row>
    <row r="125" spans="6:7" x14ac:dyDescent="0.3">
      <c r="F125" s="5"/>
      <c r="G125" s="5"/>
    </row>
    <row r="126" spans="6:7" x14ac:dyDescent="0.3">
      <c r="F126" s="5"/>
      <c r="G126" s="5"/>
    </row>
    <row r="127" spans="6:7" x14ac:dyDescent="0.3">
      <c r="F127" s="5"/>
      <c r="G127" s="5"/>
    </row>
    <row r="128" spans="6:7" x14ac:dyDescent="0.3">
      <c r="F128" s="5"/>
      <c r="G128" s="5"/>
    </row>
    <row r="129" spans="6:7" x14ac:dyDescent="0.3">
      <c r="F129" s="5"/>
      <c r="G129" s="5"/>
    </row>
    <row r="130" spans="6:7" x14ac:dyDescent="0.3">
      <c r="F130" s="5"/>
      <c r="G130" s="5"/>
    </row>
    <row r="131" spans="6:7" x14ac:dyDescent="0.3">
      <c r="F131" s="5"/>
      <c r="G131" s="5"/>
    </row>
    <row r="132" spans="6:7" x14ac:dyDescent="0.3">
      <c r="F132" s="5"/>
      <c r="G132" s="5"/>
    </row>
    <row r="133" spans="6:7" x14ac:dyDescent="0.3">
      <c r="F133" s="5"/>
      <c r="G133" s="5"/>
    </row>
    <row r="134" spans="6:7" x14ac:dyDescent="0.3">
      <c r="F134" s="5"/>
      <c r="G134" s="5"/>
    </row>
    <row r="135" spans="6:7" x14ac:dyDescent="0.3">
      <c r="F135" s="5"/>
      <c r="G135" s="5"/>
    </row>
    <row r="136" spans="6:7" x14ac:dyDescent="0.3">
      <c r="F136" s="5"/>
      <c r="G136" s="5"/>
    </row>
    <row r="137" spans="6:7" x14ac:dyDescent="0.3">
      <c r="F137" s="5"/>
      <c r="G137" s="5"/>
    </row>
    <row r="138" spans="6:7" x14ac:dyDescent="0.3">
      <c r="F138" s="5"/>
      <c r="G138" s="5"/>
    </row>
    <row r="139" spans="6:7" x14ac:dyDescent="0.3">
      <c r="F139" s="5"/>
      <c r="G139" s="5"/>
    </row>
    <row r="140" spans="6:7" x14ac:dyDescent="0.3">
      <c r="F140" s="5"/>
      <c r="G140" s="5"/>
    </row>
    <row r="141" spans="6:7" x14ac:dyDescent="0.3">
      <c r="F141" s="5"/>
      <c r="G141" s="5"/>
    </row>
    <row r="142" spans="6:7" x14ac:dyDescent="0.3">
      <c r="F142" s="5"/>
      <c r="G142" s="5"/>
    </row>
    <row r="143" spans="6:7" x14ac:dyDescent="0.3">
      <c r="F143" s="5"/>
      <c r="G143" s="5"/>
    </row>
    <row r="144" spans="6:7" x14ac:dyDescent="0.3">
      <c r="F144" s="5"/>
      <c r="G144" s="5"/>
    </row>
    <row r="145" spans="6:7" x14ac:dyDescent="0.3">
      <c r="F145" s="5"/>
      <c r="G145" s="5"/>
    </row>
    <row r="146" spans="6:7" x14ac:dyDescent="0.3">
      <c r="F146" s="5"/>
      <c r="G146" s="5"/>
    </row>
    <row r="147" spans="6:7" x14ac:dyDescent="0.3">
      <c r="F147" s="5"/>
      <c r="G147" s="5"/>
    </row>
    <row r="148" spans="6:7" x14ac:dyDescent="0.3">
      <c r="F148" s="5"/>
      <c r="G148" s="5"/>
    </row>
    <row r="149" spans="6:7" x14ac:dyDescent="0.3">
      <c r="F149" s="5"/>
      <c r="G149" s="5"/>
    </row>
    <row r="150" spans="6:7" x14ac:dyDescent="0.3">
      <c r="F150" s="5"/>
      <c r="G150" s="5"/>
    </row>
    <row r="151" spans="6:7" x14ac:dyDescent="0.3">
      <c r="F151" s="5"/>
      <c r="G151" s="5"/>
    </row>
    <row r="152" spans="6:7" x14ac:dyDescent="0.3">
      <c r="F152" s="5"/>
      <c r="G152" s="5"/>
    </row>
    <row r="153" spans="6:7" x14ac:dyDescent="0.3">
      <c r="F153" s="5"/>
      <c r="G153" s="5"/>
    </row>
    <row r="154" spans="6:7" x14ac:dyDescent="0.3">
      <c r="F154" s="5"/>
      <c r="G154" s="5"/>
    </row>
    <row r="155" spans="6:7" x14ac:dyDescent="0.3">
      <c r="F155" s="5"/>
      <c r="G155" s="5"/>
    </row>
    <row r="156" spans="6:7" x14ac:dyDescent="0.3">
      <c r="F156" s="5"/>
      <c r="G156" s="5"/>
    </row>
    <row r="157" spans="6:7" x14ac:dyDescent="0.3">
      <c r="F157" s="5"/>
      <c r="G157" s="5"/>
    </row>
    <row r="158" spans="6:7" x14ac:dyDescent="0.3">
      <c r="F158" s="5"/>
      <c r="G158" s="5"/>
    </row>
    <row r="159" spans="6:7" x14ac:dyDescent="0.3">
      <c r="F159" s="5"/>
      <c r="G159" s="5"/>
    </row>
    <row r="160" spans="6:7" x14ac:dyDescent="0.3">
      <c r="F160" s="5"/>
      <c r="G160" s="5"/>
    </row>
    <row r="161" spans="6:7" x14ac:dyDescent="0.3">
      <c r="F161" s="5"/>
      <c r="G161" s="5"/>
    </row>
    <row r="162" spans="6:7" x14ac:dyDescent="0.3">
      <c r="F162" s="5"/>
      <c r="G162" s="5"/>
    </row>
    <row r="163" spans="6:7" x14ac:dyDescent="0.3">
      <c r="F163" s="5"/>
      <c r="G163" s="5"/>
    </row>
    <row r="164" spans="6:7" x14ac:dyDescent="0.3">
      <c r="F164" s="5"/>
      <c r="G164" s="5"/>
    </row>
    <row r="165" spans="6:7" x14ac:dyDescent="0.3">
      <c r="F165" s="5"/>
      <c r="G165" s="5"/>
    </row>
    <row r="166" spans="6:7" x14ac:dyDescent="0.3">
      <c r="F166" s="5"/>
      <c r="G166" s="5"/>
    </row>
    <row r="167" spans="6:7" x14ac:dyDescent="0.3">
      <c r="F167" s="5"/>
      <c r="G167" s="5"/>
    </row>
    <row r="168" spans="6:7" x14ac:dyDescent="0.3">
      <c r="F168" s="5"/>
      <c r="G168" s="5"/>
    </row>
    <row r="169" spans="6:7" x14ac:dyDescent="0.3">
      <c r="F169" s="5"/>
      <c r="G169" s="5"/>
    </row>
    <row r="170" spans="6:7" x14ac:dyDescent="0.3">
      <c r="F170" s="5"/>
      <c r="G170" s="5"/>
    </row>
    <row r="171" spans="6:7" x14ac:dyDescent="0.3">
      <c r="F171" s="5"/>
      <c r="G171" s="5"/>
    </row>
    <row r="172" spans="6:7" x14ac:dyDescent="0.3">
      <c r="F172" s="5"/>
      <c r="G172" s="5"/>
    </row>
    <row r="173" spans="6:7" x14ac:dyDescent="0.3">
      <c r="F173" s="5"/>
      <c r="G173" s="5"/>
    </row>
    <row r="174" spans="6:7" x14ac:dyDescent="0.3">
      <c r="F174" s="5"/>
      <c r="G174" s="5"/>
    </row>
    <row r="175" spans="6:7" x14ac:dyDescent="0.3">
      <c r="F175" s="5"/>
      <c r="G175" s="5"/>
    </row>
    <row r="176" spans="6:7" x14ac:dyDescent="0.3">
      <c r="F176" s="5"/>
      <c r="G176" s="5"/>
    </row>
    <row r="177" spans="6:7" x14ac:dyDescent="0.3">
      <c r="F177" s="5"/>
      <c r="G177" s="5"/>
    </row>
    <row r="178" spans="6:7" x14ac:dyDescent="0.3">
      <c r="F178" s="5"/>
      <c r="G178" s="5"/>
    </row>
    <row r="179" spans="6:7" x14ac:dyDescent="0.3">
      <c r="F179" s="5"/>
      <c r="G179" s="5"/>
    </row>
    <row r="180" spans="6:7" x14ac:dyDescent="0.3">
      <c r="F180" s="5"/>
      <c r="G180" s="5"/>
    </row>
    <row r="181" spans="6:7" x14ac:dyDescent="0.3">
      <c r="F181" s="5"/>
      <c r="G181" s="5"/>
    </row>
    <row r="182" spans="6:7" x14ac:dyDescent="0.3">
      <c r="F182" s="5"/>
      <c r="G182" s="5"/>
    </row>
    <row r="183" spans="6:7" x14ac:dyDescent="0.3">
      <c r="F183" s="5"/>
      <c r="G183" s="5"/>
    </row>
    <row r="184" spans="6:7" x14ac:dyDescent="0.3">
      <c r="F184" s="5"/>
      <c r="G184" s="5"/>
    </row>
    <row r="185" spans="6:7" x14ac:dyDescent="0.3">
      <c r="F185" s="5"/>
      <c r="G185" s="5"/>
    </row>
    <row r="186" spans="6:7" x14ac:dyDescent="0.3">
      <c r="F186" s="5"/>
      <c r="G186" s="5"/>
    </row>
    <row r="187" spans="6:7" x14ac:dyDescent="0.3">
      <c r="F187" s="5"/>
      <c r="G187" s="5"/>
    </row>
    <row r="188" spans="6:7" x14ac:dyDescent="0.3">
      <c r="F188" s="5"/>
      <c r="G188" s="5"/>
    </row>
    <row r="189" spans="6:7" x14ac:dyDescent="0.3">
      <c r="F189" s="5"/>
      <c r="G189" s="5"/>
    </row>
    <row r="190" spans="6:7" x14ac:dyDescent="0.3">
      <c r="F190" s="5"/>
      <c r="G190" s="5"/>
    </row>
    <row r="191" spans="6:7" x14ac:dyDescent="0.3">
      <c r="F191" s="5"/>
      <c r="G191" s="5"/>
    </row>
    <row r="192" spans="6:7" x14ac:dyDescent="0.3">
      <c r="F192" s="5"/>
      <c r="G192" s="5"/>
    </row>
    <row r="193" spans="6:7" x14ac:dyDescent="0.3">
      <c r="F193" s="5"/>
      <c r="G193" s="5"/>
    </row>
    <row r="194" spans="6:7" x14ac:dyDescent="0.3">
      <c r="F194" s="5"/>
      <c r="G194" s="5"/>
    </row>
    <row r="195" spans="6:7" x14ac:dyDescent="0.3">
      <c r="F195" s="5"/>
      <c r="G195" s="5"/>
    </row>
    <row r="196" spans="6:7" x14ac:dyDescent="0.3">
      <c r="F196" s="5"/>
      <c r="G196" s="5"/>
    </row>
    <row r="197" spans="6:7" x14ac:dyDescent="0.3">
      <c r="F197" s="5"/>
      <c r="G197" s="5"/>
    </row>
    <row r="198" spans="6:7" x14ac:dyDescent="0.3">
      <c r="F198" s="5"/>
      <c r="G198" s="5"/>
    </row>
    <row r="199" spans="6:7" x14ac:dyDescent="0.3">
      <c r="F199" s="5"/>
      <c r="G199" s="5"/>
    </row>
    <row r="200" spans="6:7" x14ac:dyDescent="0.3">
      <c r="F200" s="5"/>
      <c r="G200" s="5"/>
    </row>
    <row r="201" spans="6:7" x14ac:dyDescent="0.3">
      <c r="F201" s="5"/>
      <c r="G201" s="5"/>
    </row>
    <row r="202" spans="6:7" x14ac:dyDescent="0.3">
      <c r="F202" s="5"/>
      <c r="G202" s="5"/>
    </row>
    <row r="203" spans="6:7" x14ac:dyDescent="0.3">
      <c r="F203" s="5"/>
      <c r="G203" s="5"/>
    </row>
    <row r="204" spans="6:7" x14ac:dyDescent="0.3">
      <c r="F204" s="5"/>
      <c r="G204" s="5"/>
    </row>
    <row r="205" spans="6:7" x14ac:dyDescent="0.3">
      <c r="F205" s="5"/>
      <c r="G205" s="5"/>
    </row>
    <row r="206" spans="6:7" x14ac:dyDescent="0.3">
      <c r="F206" s="5"/>
      <c r="G206" s="5"/>
    </row>
    <row r="207" spans="6:7" x14ac:dyDescent="0.3">
      <c r="F207" s="5"/>
      <c r="G207" s="5"/>
    </row>
    <row r="208" spans="6:7" x14ac:dyDescent="0.3">
      <c r="F208" s="5"/>
      <c r="G208" s="5"/>
    </row>
    <row r="209" spans="6:7" x14ac:dyDescent="0.3">
      <c r="F209" s="5"/>
      <c r="G209" s="5"/>
    </row>
    <row r="210" spans="6:7" x14ac:dyDescent="0.3">
      <c r="F210" s="5"/>
      <c r="G210" s="5"/>
    </row>
    <row r="211" spans="6:7" x14ac:dyDescent="0.3">
      <c r="F211" s="5"/>
      <c r="G211" s="5"/>
    </row>
    <row r="212" spans="6:7" x14ac:dyDescent="0.3">
      <c r="F212" s="5"/>
      <c r="G212" s="5"/>
    </row>
    <row r="213" spans="6:7" x14ac:dyDescent="0.3">
      <c r="F213" s="5"/>
      <c r="G213" s="5"/>
    </row>
    <row r="214" spans="6:7" x14ac:dyDescent="0.3">
      <c r="F214" s="5"/>
      <c r="G214" s="5"/>
    </row>
    <row r="215" spans="6:7" x14ac:dyDescent="0.3">
      <c r="F215" s="5"/>
      <c r="G215" s="5"/>
    </row>
    <row r="216" spans="6:7" x14ac:dyDescent="0.3">
      <c r="F216" s="5"/>
      <c r="G216" s="5"/>
    </row>
    <row r="217" spans="6:7" x14ac:dyDescent="0.3">
      <c r="F217" s="5"/>
      <c r="G217" s="5"/>
    </row>
    <row r="218" spans="6:7" x14ac:dyDescent="0.3">
      <c r="F218" s="5"/>
      <c r="G218" s="5"/>
    </row>
    <row r="219" spans="6:7" x14ac:dyDescent="0.3">
      <c r="F219" s="5"/>
      <c r="G219" s="5"/>
    </row>
    <row r="220" spans="6:7" x14ac:dyDescent="0.3">
      <c r="F220" s="5"/>
      <c r="G220" s="5"/>
    </row>
    <row r="221" spans="6:7" x14ac:dyDescent="0.3">
      <c r="F221" s="5"/>
      <c r="G221" s="5"/>
    </row>
    <row r="222" spans="6:7" x14ac:dyDescent="0.3">
      <c r="F222" s="5"/>
      <c r="G222" s="5"/>
    </row>
    <row r="223" spans="6:7" x14ac:dyDescent="0.3">
      <c r="F223" s="5"/>
      <c r="G223" s="5"/>
    </row>
    <row r="224" spans="6:7" x14ac:dyDescent="0.3">
      <c r="F224" s="5"/>
      <c r="G224" s="5"/>
    </row>
    <row r="225" spans="6:7" x14ac:dyDescent="0.3">
      <c r="F225" s="5"/>
      <c r="G225" s="5"/>
    </row>
    <row r="226" spans="6:7" x14ac:dyDescent="0.3">
      <c r="F226" s="5"/>
      <c r="G226" s="5"/>
    </row>
    <row r="227" spans="6:7" x14ac:dyDescent="0.3">
      <c r="F227" s="5"/>
      <c r="G227" s="5"/>
    </row>
    <row r="228" spans="6:7" x14ac:dyDescent="0.3">
      <c r="F228" s="5"/>
      <c r="G228" s="5"/>
    </row>
    <row r="229" spans="6:7" x14ac:dyDescent="0.3">
      <c r="F229" s="5"/>
      <c r="G229" s="5"/>
    </row>
    <row r="230" spans="6:7" x14ac:dyDescent="0.3">
      <c r="F230" s="5"/>
      <c r="G230" s="5"/>
    </row>
    <row r="231" spans="6:7" x14ac:dyDescent="0.3">
      <c r="F231" s="5"/>
      <c r="G231" s="5"/>
    </row>
    <row r="232" spans="6:7" x14ac:dyDescent="0.3">
      <c r="F232" s="5"/>
      <c r="G232" s="5"/>
    </row>
    <row r="233" spans="6:7" x14ac:dyDescent="0.3">
      <c r="F233" s="5"/>
      <c r="G233" s="5"/>
    </row>
    <row r="234" spans="6:7" x14ac:dyDescent="0.3">
      <c r="F234" s="5"/>
      <c r="G234" s="5"/>
    </row>
    <row r="235" spans="6:7" x14ac:dyDescent="0.3">
      <c r="F235" s="5"/>
      <c r="G235" s="5"/>
    </row>
    <row r="236" spans="6:7" x14ac:dyDescent="0.3">
      <c r="F236" s="5"/>
      <c r="G236" s="5"/>
    </row>
    <row r="237" spans="6:7" x14ac:dyDescent="0.3">
      <c r="F237" s="5"/>
      <c r="G237" s="5"/>
    </row>
    <row r="238" spans="6:7" x14ac:dyDescent="0.3">
      <c r="F238" s="5"/>
      <c r="G238" s="5"/>
    </row>
    <row r="239" spans="6:7" x14ac:dyDescent="0.3">
      <c r="F239" s="5"/>
      <c r="G239" s="5"/>
    </row>
    <row r="240" spans="6:7" x14ac:dyDescent="0.3">
      <c r="F240" s="5"/>
      <c r="G240" s="5"/>
    </row>
    <row r="241" spans="6:7" x14ac:dyDescent="0.3">
      <c r="F241" s="5"/>
      <c r="G241" s="5"/>
    </row>
    <row r="242" spans="6:7" x14ac:dyDescent="0.3">
      <c r="F242" s="5"/>
      <c r="G242" s="5"/>
    </row>
    <row r="243" spans="6:7" x14ac:dyDescent="0.3">
      <c r="F243" s="5"/>
      <c r="G243" s="5"/>
    </row>
    <row r="244" spans="6:7" x14ac:dyDescent="0.3">
      <c r="F244" s="5"/>
      <c r="G244" s="5"/>
    </row>
    <row r="245" spans="6:7" x14ac:dyDescent="0.3">
      <c r="F245" s="5"/>
      <c r="G245" s="5"/>
    </row>
    <row r="246" spans="6:7" x14ac:dyDescent="0.3">
      <c r="F246" s="5"/>
      <c r="G246" s="5"/>
    </row>
    <row r="247" spans="6:7" x14ac:dyDescent="0.3">
      <c r="F247" s="5"/>
      <c r="G247" s="5"/>
    </row>
    <row r="248" spans="6:7" x14ac:dyDescent="0.3">
      <c r="F248" s="5"/>
      <c r="G248" s="5"/>
    </row>
    <row r="249" spans="6:7" x14ac:dyDescent="0.3">
      <c r="F249" s="5"/>
      <c r="G249" s="5"/>
    </row>
    <row r="250" spans="6:7" x14ac:dyDescent="0.3">
      <c r="F250" s="5"/>
      <c r="G250" s="5"/>
    </row>
    <row r="251" spans="6:7" x14ac:dyDescent="0.3">
      <c r="F251" s="5"/>
      <c r="G251" s="5"/>
    </row>
    <row r="252" spans="6:7" x14ac:dyDescent="0.3">
      <c r="F252" s="5"/>
      <c r="G252" s="5"/>
    </row>
    <row r="253" spans="6:7" x14ac:dyDescent="0.3">
      <c r="F253" s="5"/>
      <c r="G253" s="5"/>
    </row>
    <row r="254" spans="6:7" x14ac:dyDescent="0.3">
      <c r="F254" s="5"/>
      <c r="G254" s="5"/>
    </row>
    <row r="255" spans="6:7" x14ac:dyDescent="0.3">
      <c r="F255" s="5"/>
      <c r="G255" s="5"/>
    </row>
    <row r="256" spans="6:7" x14ac:dyDescent="0.3">
      <c r="F256" s="5"/>
      <c r="G256" s="5"/>
    </row>
    <row r="257" spans="6:7" x14ac:dyDescent="0.3">
      <c r="F257" s="5"/>
      <c r="G257" s="5"/>
    </row>
    <row r="258" spans="6:7" x14ac:dyDescent="0.3">
      <c r="F258" s="5"/>
      <c r="G258" s="5"/>
    </row>
    <row r="259" spans="6:7" x14ac:dyDescent="0.3">
      <c r="F259" s="5"/>
      <c r="G259" s="5"/>
    </row>
    <row r="260" spans="6:7" x14ac:dyDescent="0.3">
      <c r="F260" s="5"/>
      <c r="G260" s="5"/>
    </row>
    <row r="261" spans="6:7" x14ac:dyDescent="0.3">
      <c r="F261" s="5"/>
      <c r="G261" s="5"/>
    </row>
    <row r="262" spans="6:7" x14ac:dyDescent="0.3">
      <c r="F262" s="5"/>
      <c r="G262" s="5"/>
    </row>
    <row r="263" spans="6:7" x14ac:dyDescent="0.3">
      <c r="F263" s="5"/>
      <c r="G263" s="5"/>
    </row>
    <row r="264" spans="6:7" x14ac:dyDescent="0.3">
      <c r="F264" s="5"/>
      <c r="G264" s="5"/>
    </row>
    <row r="265" spans="6:7" x14ac:dyDescent="0.3">
      <c r="F265" s="5"/>
      <c r="G265" s="5"/>
    </row>
    <row r="266" spans="6:7" x14ac:dyDescent="0.3">
      <c r="F266" s="5"/>
      <c r="G266" s="5"/>
    </row>
    <row r="267" spans="6:7" x14ac:dyDescent="0.3">
      <c r="F267" s="5"/>
      <c r="G267" s="5"/>
    </row>
    <row r="268" spans="6:7" x14ac:dyDescent="0.3">
      <c r="F268" s="5"/>
      <c r="G268" s="5"/>
    </row>
    <row r="269" spans="6:7" x14ac:dyDescent="0.3">
      <c r="F269" s="5"/>
      <c r="G269" s="5"/>
    </row>
    <row r="270" spans="6:7" x14ac:dyDescent="0.3">
      <c r="F270" s="5"/>
      <c r="G270" s="5"/>
    </row>
    <row r="271" spans="6:7" x14ac:dyDescent="0.3">
      <c r="F271" s="5"/>
      <c r="G271" s="5"/>
    </row>
    <row r="272" spans="6:7" x14ac:dyDescent="0.3">
      <c r="F272" s="5"/>
      <c r="G272" s="5"/>
    </row>
    <row r="273" spans="6:7" x14ac:dyDescent="0.3">
      <c r="F273" s="5"/>
      <c r="G273" s="5"/>
    </row>
    <row r="274" spans="6:7" x14ac:dyDescent="0.3">
      <c r="F274" s="5"/>
      <c r="G274" s="5"/>
    </row>
    <row r="275" spans="6:7" x14ac:dyDescent="0.3">
      <c r="F275" s="5"/>
      <c r="G275" s="5"/>
    </row>
    <row r="276" spans="6:7" x14ac:dyDescent="0.3">
      <c r="F276" s="5"/>
      <c r="G276" s="5"/>
    </row>
    <row r="277" spans="6:7" x14ac:dyDescent="0.3">
      <c r="F277" s="5"/>
      <c r="G277" s="5"/>
    </row>
    <row r="278" spans="6:7" x14ac:dyDescent="0.3">
      <c r="F278" s="5"/>
      <c r="G278" s="5"/>
    </row>
    <row r="279" spans="6:7" x14ac:dyDescent="0.3">
      <c r="F279" s="5"/>
      <c r="G279" s="5"/>
    </row>
    <row r="280" spans="6:7" x14ac:dyDescent="0.3">
      <c r="F280" s="5"/>
      <c r="G280" s="5"/>
    </row>
    <row r="281" spans="6:7" x14ac:dyDescent="0.3">
      <c r="F281" s="5"/>
      <c r="G281" s="5"/>
    </row>
    <row r="282" spans="6:7" x14ac:dyDescent="0.3">
      <c r="F282" s="5"/>
      <c r="G282" s="5"/>
    </row>
    <row r="283" spans="6:7" x14ac:dyDescent="0.3">
      <c r="F283" s="5"/>
      <c r="G283" s="5"/>
    </row>
    <row r="284" spans="6:7" x14ac:dyDescent="0.3">
      <c r="F284" s="5"/>
      <c r="G284" s="5"/>
    </row>
    <row r="285" spans="6:7" x14ac:dyDescent="0.3">
      <c r="F285" s="5"/>
      <c r="G285" s="5"/>
    </row>
    <row r="286" spans="6:7" x14ac:dyDescent="0.3">
      <c r="F286" s="5"/>
      <c r="G286" s="5"/>
    </row>
    <row r="287" spans="6:7" x14ac:dyDescent="0.3">
      <c r="F287" s="5"/>
      <c r="G287" s="5"/>
    </row>
    <row r="288" spans="6:7" x14ac:dyDescent="0.3">
      <c r="F288" s="5"/>
      <c r="G288" s="5"/>
    </row>
    <row r="289" spans="6:7" x14ac:dyDescent="0.3">
      <c r="F289" s="5"/>
      <c r="G289" s="5"/>
    </row>
    <row r="290" spans="6:7" x14ac:dyDescent="0.3">
      <c r="F290" s="5"/>
      <c r="G290" s="5"/>
    </row>
    <row r="291" spans="6:7" x14ac:dyDescent="0.3">
      <c r="F291" s="5"/>
      <c r="G291" s="5"/>
    </row>
    <row r="292" spans="6:7" x14ac:dyDescent="0.3">
      <c r="F292" s="5"/>
      <c r="G292" s="5"/>
    </row>
    <row r="293" spans="6:7" x14ac:dyDescent="0.3">
      <c r="F293" s="5"/>
      <c r="G293" s="5"/>
    </row>
    <row r="294" spans="6:7" x14ac:dyDescent="0.3">
      <c r="F294" s="5"/>
      <c r="G294" s="5"/>
    </row>
    <row r="295" spans="6:7" x14ac:dyDescent="0.3">
      <c r="F295" s="5"/>
      <c r="G295" s="5"/>
    </row>
    <row r="296" spans="6:7" x14ac:dyDescent="0.3">
      <c r="F296" s="5"/>
      <c r="G296" s="5"/>
    </row>
    <row r="297" spans="6:7" x14ac:dyDescent="0.3">
      <c r="F297" s="5"/>
      <c r="G297" s="5"/>
    </row>
    <row r="298" spans="6:7" x14ac:dyDescent="0.3">
      <c r="F298" s="5"/>
      <c r="G298" s="5"/>
    </row>
    <row r="299" spans="6:7" x14ac:dyDescent="0.3">
      <c r="F299" s="5"/>
      <c r="G299" s="5"/>
    </row>
    <row r="300" spans="6:7" x14ac:dyDescent="0.3">
      <c r="F300" s="5"/>
      <c r="G300" s="5"/>
    </row>
    <row r="301" spans="6:7" x14ac:dyDescent="0.3">
      <c r="F301" s="5"/>
      <c r="G301" s="5"/>
    </row>
    <row r="302" spans="6:7" x14ac:dyDescent="0.3">
      <c r="F302" s="5"/>
      <c r="G302" s="5"/>
    </row>
    <row r="303" spans="6:7" x14ac:dyDescent="0.3">
      <c r="F303" s="5"/>
      <c r="G303" s="5"/>
    </row>
    <row r="304" spans="6:7" x14ac:dyDescent="0.3">
      <c r="F304" s="5"/>
      <c r="G304" s="5"/>
    </row>
    <row r="305" spans="6:7" x14ac:dyDescent="0.3">
      <c r="F305" s="5"/>
      <c r="G305" s="5"/>
    </row>
    <row r="306" spans="6:7" x14ac:dyDescent="0.3">
      <c r="F306" s="5"/>
      <c r="G306" s="5"/>
    </row>
    <row r="307" spans="6:7" x14ac:dyDescent="0.3">
      <c r="F307" s="5"/>
      <c r="G307" s="5"/>
    </row>
    <row r="308" spans="6:7" x14ac:dyDescent="0.3">
      <c r="F308" s="5"/>
      <c r="G308" s="5"/>
    </row>
    <row r="309" spans="6:7" x14ac:dyDescent="0.3">
      <c r="F309" s="5"/>
      <c r="G309" s="5"/>
    </row>
    <row r="310" spans="6:7" x14ac:dyDescent="0.3">
      <c r="F310" s="5"/>
      <c r="G310" s="5"/>
    </row>
    <row r="311" spans="6:7" x14ac:dyDescent="0.3">
      <c r="F311" s="5"/>
      <c r="G311" s="5"/>
    </row>
    <row r="312" spans="6:7" x14ac:dyDescent="0.3">
      <c r="F312" s="5"/>
      <c r="G312" s="5"/>
    </row>
    <row r="313" spans="6:7" x14ac:dyDescent="0.3">
      <c r="F313" s="5"/>
      <c r="G313" s="5"/>
    </row>
    <row r="314" spans="6:7" x14ac:dyDescent="0.3">
      <c r="F314" s="5"/>
      <c r="G314" s="5"/>
    </row>
    <row r="315" spans="6:7" x14ac:dyDescent="0.3">
      <c r="F315" s="5"/>
      <c r="G315" s="5"/>
    </row>
    <row r="316" spans="6:7" x14ac:dyDescent="0.3">
      <c r="F316" s="5"/>
      <c r="G316" s="5"/>
    </row>
    <row r="317" spans="6:7" x14ac:dyDescent="0.3">
      <c r="F317" s="5"/>
      <c r="G317" s="5"/>
    </row>
    <row r="318" spans="6:7" x14ac:dyDescent="0.3">
      <c r="F318" s="5"/>
      <c r="G318" s="5"/>
    </row>
    <row r="319" spans="6:7" x14ac:dyDescent="0.3">
      <c r="F319" s="5"/>
      <c r="G319" s="5"/>
    </row>
    <row r="320" spans="6:7" x14ac:dyDescent="0.3">
      <c r="F320" s="5"/>
      <c r="G320" s="5"/>
    </row>
    <row r="321" spans="6:7" x14ac:dyDescent="0.3">
      <c r="F321" s="5"/>
      <c r="G321" s="5"/>
    </row>
    <row r="322" spans="6:7" x14ac:dyDescent="0.3">
      <c r="F322" s="5"/>
      <c r="G322" s="5"/>
    </row>
    <row r="323" spans="6:7" x14ac:dyDescent="0.3">
      <c r="F323" s="5"/>
      <c r="G323" s="5"/>
    </row>
    <row r="324" spans="6:7" x14ac:dyDescent="0.3">
      <c r="F324" s="5"/>
      <c r="G324" s="5"/>
    </row>
    <row r="325" spans="6:7" x14ac:dyDescent="0.3">
      <c r="F325" s="5"/>
      <c r="G325" s="5"/>
    </row>
    <row r="326" spans="6:7" x14ac:dyDescent="0.3">
      <c r="F326" s="5"/>
      <c r="G326" s="5"/>
    </row>
    <row r="327" spans="6:7" x14ac:dyDescent="0.3">
      <c r="F327" s="5"/>
      <c r="G327" s="5"/>
    </row>
    <row r="328" spans="6:7" x14ac:dyDescent="0.3">
      <c r="F328" s="5"/>
      <c r="G328" s="5"/>
    </row>
    <row r="329" spans="6:7" x14ac:dyDescent="0.3">
      <c r="F329" s="5"/>
      <c r="G329" s="5"/>
    </row>
    <row r="330" spans="6:7" x14ac:dyDescent="0.3">
      <c r="F330" s="5"/>
      <c r="G330" s="5"/>
    </row>
    <row r="331" spans="6:7" x14ac:dyDescent="0.3">
      <c r="F331" s="5"/>
      <c r="G331" s="5"/>
    </row>
    <row r="332" spans="6:7" x14ac:dyDescent="0.3">
      <c r="F332" s="5"/>
      <c r="G332" s="5"/>
    </row>
    <row r="333" spans="6:7" x14ac:dyDescent="0.3">
      <c r="F333" s="5"/>
      <c r="G333" s="5"/>
    </row>
    <row r="334" spans="6:7" x14ac:dyDescent="0.3">
      <c r="F334" s="5"/>
      <c r="G334" s="5"/>
    </row>
    <row r="335" spans="6:7" x14ac:dyDescent="0.3">
      <c r="F335" s="5"/>
      <c r="G335" s="5"/>
    </row>
    <row r="336" spans="6:7" x14ac:dyDescent="0.3">
      <c r="F336" s="5"/>
      <c r="G336" s="5"/>
    </row>
    <row r="337" spans="6:7" x14ac:dyDescent="0.3">
      <c r="F337" s="5"/>
      <c r="G337" s="5"/>
    </row>
    <row r="338" spans="6:7" x14ac:dyDescent="0.3">
      <c r="F338" s="5"/>
      <c r="G338" s="5"/>
    </row>
    <row r="339" spans="6:7" x14ac:dyDescent="0.3">
      <c r="F339" s="5"/>
      <c r="G339" s="5"/>
    </row>
    <row r="340" spans="6:7" x14ac:dyDescent="0.3">
      <c r="F340" s="5"/>
      <c r="G340" s="5"/>
    </row>
    <row r="341" spans="6:7" x14ac:dyDescent="0.3">
      <c r="F341" s="5"/>
      <c r="G341" s="5"/>
    </row>
    <row r="342" spans="6:7" x14ac:dyDescent="0.3">
      <c r="F342" s="5"/>
      <c r="G342" s="5"/>
    </row>
    <row r="343" spans="6:7" x14ac:dyDescent="0.3">
      <c r="F343" s="5"/>
      <c r="G343" s="5"/>
    </row>
    <row r="344" spans="6:7" x14ac:dyDescent="0.3">
      <c r="F344" s="5"/>
      <c r="G344" s="5"/>
    </row>
    <row r="345" spans="6:7" x14ac:dyDescent="0.3">
      <c r="F345" s="5"/>
      <c r="G345" s="5"/>
    </row>
    <row r="346" spans="6:7" x14ac:dyDescent="0.3">
      <c r="F346" s="5"/>
      <c r="G346" s="5"/>
    </row>
    <row r="347" spans="6:7" x14ac:dyDescent="0.3">
      <c r="F347" s="5"/>
      <c r="G347" s="5"/>
    </row>
    <row r="348" spans="6:7" x14ac:dyDescent="0.3">
      <c r="F348" s="5"/>
      <c r="G348" s="5"/>
    </row>
    <row r="349" spans="6:7" x14ac:dyDescent="0.3">
      <c r="F349" s="5"/>
      <c r="G349" s="5"/>
    </row>
    <row r="350" spans="6:7" x14ac:dyDescent="0.3">
      <c r="F350" s="5"/>
      <c r="G350" s="5"/>
    </row>
    <row r="351" spans="6:7" x14ac:dyDescent="0.3">
      <c r="F351" s="5"/>
      <c r="G351" s="5"/>
    </row>
    <row r="352" spans="6:7" x14ac:dyDescent="0.3">
      <c r="F352" s="5"/>
      <c r="G352" s="5"/>
    </row>
    <row r="353" spans="6:7" x14ac:dyDescent="0.3">
      <c r="F353" s="5"/>
      <c r="G353" s="5"/>
    </row>
    <row r="354" spans="6:7" x14ac:dyDescent="0.3">
      <c r="F354" s="5"/>
      <c r="G354" s="5"/>
    </row>
    <row r="355" spans="6:7" x14ac:dyDescent="0.3">
      <c r="F355" s="5"/>
      <c r="G355" s="5"/>
    </row>
    <row r="356" spans="6:7" x14ac:dyDescent="0.3">
      <c r="F356" s="5"/>
      <c r="G356" s="5"/>
    </row>
    <row r="357" spans="6:7" x14ac:dyDescent="0.3">
      <c r="F357" s="5"/>
      <c r="G357" s="5"/>
    </row>
    <row r="358" spans="6:7" x14ac:dyDescent="0.3">
      <c r="F358" s="5"/>
      <c r="G358" s="5"/>
    </row>
    <row r="359" spans="6:7" x14ac:dyDescent="0.3">
      <c r="F359" s="5"/>
      <c r="G359" s="5"/>
    </row>
    <row r="360" spans="6:7" x14ac:dyDescent="0.3">
      <c r="F360" s="5"/>
      <c r="G360" s="5"/>
    </row>
    <row r="361" spans="6:7" x14ac:dyDescent="0.3">
      <c r="F361" s="5"/>
      <c r="G361" s="5"/>
    </row>
    <row r="362" spans="6:7" x14ac:dyDescent="0.3">
      <c r="F362" s="5"/>
      <c r="G362" s="5"/>
    </row>
    <row r="363" spans="6:7" x14ac:dyDescent="0.3">
      <c r="F363" s="5"/>
      <c r="G363" s="5"/>
    </row>
    <row r="364" spans="6:7" x14ac:dyDescent="0.3">
      <c r="F364" s="5"/>
      <c r="G364" s="5"/>
    </row>
    <row r="365" spans="6:7" x14ac:dyDescent="0.3">
      <c r="F365" s="5"/>
      <c r="G365" s="5"/>
    </row>
    <row r="366" spans="6:7" x14ac:dyDescent="0.3">
      <c r="F366" s="5"/>
      <c r="G366" s="5"/>
    </row>
    <row r="367" spans="6:7" x14ac:dyDescent="0.3">
      <c r="F367" s="5"/>
      <c r="G367" s="5"/>
    </row>
    <row r="368" spans="6:7" x14ac:dyDescent="0.3">
      <c r="F368" s="5"/>
      <c r="G368" s="5"/>
    </row>
    <row r="369" spans="6:7" x14ac:dyDescent="0.3">
      <c r="F369" s="5"/>
      <c r="G369" s="5"/>
    </row>
    <row r="370" spans="6:7" x14ac:dyDescent="0.3">
      <c r="F370" s="5"/>
      <c r="G370" s="5"/>
    </row>
    <row r="371" spans="6:7" x14ac:dyDescent="0.3">
      <c r="F371" s="5"/>
      <c r="G371" s="5"/>
    </row>
    <row r="372" spans="6:7" x14ac:dyDescent="0.3">
      <c r="F372" s="5"/>
      <c r="G372" s="5"/>
    </row>
    <row r="373" spans="6:7" x14ac:dyDescent="0.3">
      <c r="F373" s="5"/>
      <c r="G373" s="5"/>
    </row>
    <row r="374" spans="6:7" x14ac:dyDescent="0.3">
      <c r="F374" s="5"/>
      <c r="G374" s="5"/>
    </row>
    <row r="375" spans="6:7" x14ac:dyDescent="0.3">
      <c r="F375" s="5"/>
      <c r="G375" s="5"/>
    </row>
    <row r="376" spans="6:7" x14ac:dyDescent="0.3">
      <c r="F376" s="5"/>
      <c r="G376" s="5"/>
    </row>
    <row r="377" spans="6:7" x14ac:dyDescent="0.3">
      <c r="F377" s="5"/>
      <c r="G377" s="5"/>
    </row>
    <row r="378" spans="6:7" x14ac:dyDescent="0.3">
      <c r="F378" s="5"/>
      <c r="G378" s="5"/>
    </row>
    <row r="379" spans="6:7" x14ac:dyDescent="0.3">
      <c r="F379" s="5"/>
      <c r="G379" s="5"/>
    </row>
    <row r="380" spans="6:7" x14ac:dyDescent="0.3">
      <c r="F380" s="5"/>
      <c r="G380" s="5"/>
    </row>
    <row r="381" spans="6:7" x14ac:dyDescent="0.3">
      <c r="F381" s="5"/>
      <c r="G381" s="5"/>
    </row>
    <row r="382" spans="6:7" x14ac:dyDescent="0.3">
      <c r="F382" s="5"/>
      <c r="G382" s="5"/>
    </row>
    <row r="383" spans="6:7" x14ac:dyDescent="0.3">
      <c r="F383" s="5"/>
      <c r="G383" s="5"/>
    </row>
    <row r="384" spans="6:7" x14ac:dyDescent="0.3">
      <c r="F384" s="5"/>
      <c r="G384" s="5"/>
    </row>
    <row r="385" spans="6:7" x14ac:dyDescent="0.3">
      <c r="F385" s="5"/>
      <c r="G385" s="5"/>
    </row>
    <row r="386" spans="6:7" x14ac:dyDescent="0.3">
      <c r="F386" s="5"/>
      <c r="G386" s="5"/>
    </row>
    <row r="387" spans="6:7" x14ac:dyDescent="0.3">
      <c r="F387" s="5"/>
      <c r="G387" s="5"/>
    </row>
    <row r="388" spans="6:7" x14ac:dyDescent="0.3">
      <c r="F388" s="5"/>
      <c r="G388" s="5"/>
    </row>
    <row r="389" spans="6:7" x14ac:dyDescent="0.3">
      <c r="F389" s="5"/>
      <c r="G389" s="5"/>
    </row>
    <row r="390" spans="6:7" x14ac:dyDescent="0.3">
      <c r="F390" s="5"/>
      <c r="G390" s="5"/>
    </row>
    <row r="391" spans="6:7" x14ac:dyDescent="0.3">
      <c r="F391" s="5"/>
      <c r="G391" s="5"/>
    </row>
    <row r="392" spans="6:7" x14ac:dyDescent="0.3">
      <c r="F392" s="5"/>
      <c r="G392" s="5"/>
    </row>
    <row r="393" spans="6:7" x14ac:dyDescent="0.3">
      <c r="F393" s="5"/>
      <c r="G393" s="5"/>
    </row>
    <row r="394" spans="6:7" x14ac:dyDescent="0.3">
      <c r="F394" s="5"/>
      <c r="G394" s="5"/>
    </row>
    <row r="395" spans="6:7" x14ac:dyDescent="0.3">
      <c r="F395" s="5"/>
      <c r="G395" s="5"/>
    </row>
    <row r="396" spans="6:7" x14ac:dyDescent="0.3">
      <c r="F396" s="5"/>
      <c r="G396" s="5"/>
    </row>
    <row r="397" spans="6:7" x14ac:dyDescent="0.3">
      <c r="F397" s="5"/>
      <c r="G397" s="5"/>
    </row>
    <row r="398" spans="6:7" x14ac:dyDescent="0.3">
      <c r="F398" s="5"/>
      <c r="G398" s="5"/>
    </row>
    <row r="399" spans="6:7" x14ac:dyDescent="0.3">
      <c r="F399" s="5"/>
      <c r="G399" s="5"/>
    </row>
    <row r="400" spans="6:7" x14ac:dyDescent="0.3">
      <c r="F400" s="5"/>
      <c r="G400" s="5"/>
    </row>
    <row r="401" spans="6:7" x14ac:dyDescent="0.3">
      <c r="F401" s="5"/>
      <c r="G401" s="5"/>
    </row>
    <row r="402" spans="6:7" x14ac:dyDescent="0.3">
      <c r="F402" s="5"/>
      <c r="G402" s="5"/>
    </row>
    <row r="403" spans="6:7" x14ac:dyDescent="0.3">
      <c r="F403" s="5"/>
      <c r="G403" s="5"/>
    </row>
    <row r="404" spans="6:7" x14ac:dyDescent="0.3">
      <c r="F404" s="5"/>
      <c r="G404" s="5"/>
    </row>
    <row r="405" spans="6:7" x14ac:dyDescent="0.3">
      <c r="F405" s="5"/>
      <c r="G405" s="5"/>
    </row>
    <row r="406" spans="6:7" x14ac:dyDescent="0.3">
      <c r="F406" s="5"/>
      <c r="G406" s="5"/>
    </row>
    <row r="407" spans="6:7" x14ac:dyDescent="0.3">
      <c r="F407" s="5"/>
      <c r="G407" s="5"/>
    </row>
    <row r="408" spans="6:7" x14ac:dyDescent="0.3">
      <c r="F408" s="5"/>
      <c r="G408" s="5"/>
    </row>
    <row r="409" spans="6:7" x14ac:dyDescent="0.3">
      <c r="F409" s="5"/>
      <c r="G409" s="5"/>
    </row>
    <row r="410" spans="6:7" x14ac:dyDescent="0.3">
      <c r="F410" s="5"/>
      <c r="G410" s="5"/>
    </row>
    <row r="411" spans="6:7" x14ac:dyDescent="0.3">
      <c r="F411" s="5"/>
      <c r="G411" s="5"/>
    </row>
    <row r="412" spans="6:7" x14ac:dyDescent="0.3">
      <c r="F412" s="5"/>
      <c r="G412" s="5"/>
    </row>
    <row r="413" spans="6:7" x14ac:dyDescent="0.3">
      <c r="F413" s="5"/>
      <c r="G413" s="5"/>
    </row>
    <row r="414" spans="6:7" x14ac:dyDescent="0.3">
      <c r="F414" s="5"/>
      <c r="G414" s="5"/>
    </row>
    <row r="415" spans="6:7" x14ac:dyDescent="0.3">
      <c r="F415" s="5"/>
      <c r="G415" s="5"/>
    </row>
    <row r="416" spans="6:7" x14ac:dyDescent="0.3">
      <c r="F416" s="5"/>
      <c r="G416" s="5"/>
    </row>
    <row r="417" spans="6:7" x14ac:dyDescent="0.3">
      <c r="F417" s="5"/>
      <c r="G417" s="5"/>
    </row>
    <row r="418" spans="6:7" x14ac:dyDescent="0.3">
      <c r="F418" s="5"/>
      <c r="G418" s="5"/>
    </row>
    <row r="419" spans="6:7" x14ac:dyDescent="0.3">
      <c r="F419" s="5"/>
      <c r="G419" s="5"/>
    </row>
    <row r="420" spans="6:7" x14ac:dyDescent="0.3">
      <c r="F420" s="5"/>
      <c r="G420" s="5"/>
    </row>
    <row r="421" spans="6:7" x14ac:dyDescent="0.3">
      <c r="F421" s="5"/>
      <c r="G421" s="5"/>
    </row>
    <row r="422" spans="6:7" x14ac:dyDescent="0.3">
      <c r="F422" s="5"/>
      <c r="G422" s="5"/>
    </row>
    <row r="423" spans="6:7" x14ac:dyDescent="0.3">
      <c r="F423" s="5"/>
      <c r="G423" s="5"/>
    </row>
    <row r="424" spans="6:7" x14ac:dyDescent="0.3">
      <c r="F424" s="5"/>
      <c r="G424" s="5"/>
    </row>
    <row r="425" spans="6:7" x14ac:dyDescent="0.3">
      <c r="F425" s="5"/>
      <c r="G425" s="5"/>
    </row>
    <row r="426" spans="6:7" x14ac:dyDescent="0.3">
      <c r="F426" s="5"/>
      <c r="G426" s="5"/>
    </row>
    <row r="427" spans="6:7" x14ac:dyDescent="0.3">
      <c r="F427" s="5"/>
      <c r="G427" s="5"/>
    </row>
    <row r="428" spans="6:7" x14ac:dyDescent="0.3">
      <c r="F428" s="5"/>
      <c r="G428" s="5"/>
    </row>
    <row r="429" spans="6:7" x14ac:dyDescent="0.3">
      <c r="F429" s="5"/>
      <c r="G429" s="5"/>
    </row>
    <row r="430" spans="6:7" x14ac:dyDescent="0.3">
      <c r="F430" s="5"/>
      <c r="G430" s="5"/>
    </row>
    <row r="431" spans="6:7" x14ac:dyDescent="0.3">
      <c r="F431" s="5"/>
      <c r="G431" s="5"/>
    </row>
    <row r="432" spans="6:7" x14ac:dyDescent="0.3">
      <c r="F432" s="5"/>
      <c r="G432" s="5"/>
    </row>
    <row r="433" spans="6:7" x14ac:dyDescent="0.3">
      <c r="F433" s="5"/>
      <c r="G433" s="5"/>
    </row>
    <row r="434" spans="6:7" x14ac:dyDescent="0.3">
      <c r="F434" s="5"/>
      <c r="G434" s="5"/>
    </row>
    <row r="435" spans="6:7" x14ac:dyDescent="0.3">
      <c r="F435" s="5"/>
      <c r="G435" s="5"/>
    </row>
    <row r="436" spans="6:7" x14ac:dyDescent="0.3">
      <c r="F436" s="5"/>
      <c r="G436" s="5"/>
    </row>
    <row r="437" spans="6:7" x14ac:dyDescent="0.3">
      <c r="F437" s="5"/>
      <c r="G437" s="5"/>
    </row>
    <row r="438" spans="6:7" x14ac:dyDescent="0.3">
      <c r="F438" s="5"/>
      <c r="G438" s="5"/>
    </row>
    <row r="439" spans="6:7" x14ac:dyDescent="0.3">
      <c r="F439" s="5"/>
      <c r="G439" s="5"/>
    </row>
    <row r="440" spans="6:7" x14ac:dyDescent="0.3">
      <c r="F440" s="5"/>
      <c r="G440" s="5"/>
    </row>
    <row r="441" spans="6:7" x14ac:dyDescent="0.3">
      <c r="F441" s="5"/>
      <c r="G441" s="5"/>
    </row>
    <row r="442" spans="6:7" x14ac:dyDescent="0.3">
      <c r="F442" s="5"/>
      <c r="G442" s="5"/>
    </row>
    <row r="443" spans="6:7" x14ac:dyDescent="0.3">
      <c r="F443" s="5"/>
      <c r="G443" s="5"/>
    </row>
    <row r="444" spans="6:7" x14ac:dyDescent="0.3">
      <c r="F444" s="5"/>
      <c r="G444" s="5"/>
    </row>
    <row r="445" spans="6:7" x14ac:dyDescent="0.3">
      <c r="F445" s="5"/>
      <c r="G445" s="5"/>
    </row>
    <row r="446" spans="6:7" x14ac:dyDescent="0.3">
      <c r="F446" s="5"/>
      <c r="G446" s="5"/>
    </row>
    <row r="447" spans="6:7" x14ac:dyDescent="0.3">
      <c r="F447" s="5"/>
      <c r="G447" s="5"/>
    </row>
    <row r="448" spans="6:7" x14ac:dyDescent="0.3">
      <c r="F448" s="5"/>
      <c r="G448" s="5"/>
    </row>
    <row r="449" spans="6:7" x14ac:dyDescent="0.3">
      <c r="F449" s="5"/>
      <c r="G449" s="5"/>
    </row>
    <row r="450" spans="6:7" x14ac:dyDescent="0.3">
      <c r="F450" s="5"/>
      <c r="G450" s="5"/>
    </row>
    <row r="451" spans="6:7" x14ac:dyDescent="0.3">
      <c r="F451" s="5"/>
      <c r="G451" s="5"/>
    </row>
    <row r="452" spans="6:7" x14ac:dyDescent="0.3">
      <c r="F452" s="5"/>
      <c r="G452" s="5"/>
    </row>
    <row r="453" spans="6:7" x14ac:dyDescent="0.3">
      <c r="F453" s="5"/>
      <c r="G453" s="5"/>
    </row>
    <row r="454" spans="6:7" x14ac:dyDescent="0.3">
      <c r="F454" s="5"/>
      <c r="G454" s="5"/>
    </row>
    <row r="455" spans="6:7" x14ac:dyDescent="0.3">
      <c r="F455" s="5"/>
      <c r="G455" s="5"/>
    </row>
    <row r="456" spans="6:7" x14ac:dyDescent="0.3">
      <c r="F456" s="5"/>
      <c r="G456" s="5"/>
    </row>
    <row r="457" spans="6:7" x14ac:dyDescent="0.3">
      <c r="F457" s="5"/>
      <c r="G457" s="5"/>
    </row>
    <row r="458" spans="6:7" x14ac:dyDescent="0.3">
      <c r="F458" s="5"/>
      <c r="G458" s="5"/>
    </row>
    <row r="459" spans="6:7" x14ac:dyDescent="0.3">
      <c r="F459" s="5"/>
      <c r="G459" s="5"/>
    </row>
    <row r="460" spans="6:7" x14ac:dyDescent="0.3">
      <c r="F460" s="5"/>
      <c r="G460" s="5"/>
    </row>
    <row r="461" spans="6:7" x14ac:dyDescent="0.3">
      <c r="F461" s="5"/>
      <c r="G461" s="5"/>
    </row>
    <row r="462" spans="6:7" x14ac:dyDescent="0.3">
      <c r="F462" s="5"/>
      <c r="G462" s="5"/>
    </row>
    <row r="463" spans="6:7" x14ac:dyDescent="0.3">
      <c r="F463" s="5"/>
      <c r="G463" s="5"/>
    </row>
    <row r="464" spans="6:7" x14ac:dyDescent="0.3">
      <c r="F464" s="5"/>
      <c r="G464" s="5"/>
    </row>
    <row r="465" spans="6:7" x14ac:dyDescent="0.3">
      <c r="F465" s="5"/>
      <c r="G465" s="5"/>
    </row>
    <row r="466" spans="6:7" x14ac:dyDescent="0.3">
      <c r="F466" s="5"/>
      <c r="G466" s="5"/>
    </row>
    <row r="467" spans="6:7" x14ac:dyDescent="0.3">
      <c r="F467" s="5"/>
      <c r="G467" s="5"/>
    </row>
    <row r="468" spans="6:7" x14ac:dyDescent="0.3">
      <c r="F468" s="5"/>
      <c r="G468" s="5"/>
    </row>
    <row r="469" spans="6:7" x14ac:dyDescent="0.3">
      <c r="F469" s="5"/>
      <c r="G469" s="5"/>
    </row>
    <row r="470" spans="6:7" x14ac:dyDescent="0.3">
      <c r="F470" s="5"/>
      <c r="G470" s="5"/>
    </row>
    <row r="471" spans="6:7" x14ac:dyDescent="0.3">
      <c r="F471" s="5"/>
      <c r="G471" s="5"/>
    </row>
    <row r="472" spans="6:7" x14ac:dyDescent="0.3">
      <c r="F472" s="5"/>
      <c r="G472" s="5"/>
    </row>
    <row r="473" spans="6:7" x14ac:dyDescent="0.3">
      <c r="F473" s="5"/>
      <c r="G473" s="5"/>
    </row>
    <row r="474" spans="6:7" x14ac:dyDescent="0.3">
      <c r="F474" s="5"/>
      <c r="G474" s="5"/>
    </row>
    <row r="475" spans="6:7" x14ac:dyDescent="0.3">
      <c r="F475" s="5"/>
      <c r="G475" s="5"/>
    </row>
    <row r="476" spans="6:7" x14ac:dyDescent="0.3">
      <c r="F476" s="5"/>
      <c r="G476" s="5"/>
    </row>
    <row r="477" spans="6:7" x14ac:dyDescent="0.3">
      <c r="F477" s="5"/>
      <c r="G477" s="5"/>
    </row>
    <row r="478" spans="6:7" x14ac:dyDescent="0.3">
      <c r="F478" s="5"/>
      <c r="G478" s="5"/>
    </row>
    <row r="479" spans="6:7" x14ac:dyDescent="0.3">
      <c r="F479" s="5"/>
      <c r="G479" s="5"/>
    </row>
    <row r="480" spans="6:7" x14ac:dyDescent="0.3">
      <c r="F480" s="5"/>
      <c r="G480" s="5"/>
    </row>
    <row r="481" spans="6:7" x14ac:dyDescent="0.3">
      <c r="F481" s="5"/>
      <c r="G481" s="5"/>
    </row>
    <row r="482" spans="6:7" x14ac:dyDescent="0.3">
      <c r="F482" s="5"/>
      <c r="G482" s="5"/>
    </row>
    <row r="483" spans="6:7" x14ac:dyDescent="0.3">
      <c r="F483" s="5"/>
      <c r="G483" s="5"/>
    </row>
    <row r="484" spans="6:7" x14ac:dyDescent="0.3">
      <c r="F484" s="5"/>
      <c r="G484" s="5"/>
    </row>
    <row r="485" spans="6:7" x14ac:dyDescent="0.3">
      <c r="F485" s="5"/>
      <c r="G485" s="5"/>
    </row>
    <row r="486" spans="6:7" x14ac:dyDescent="0.3">
      <c r="F486" s="5"/>
      <c r="G486" s="5"/>
    </row>
    <row r="487" spans="6:7" x14ac:dyDescent="0.3">
      <c r="F487" s="5"/>
      <c r="G487" s="5"/>
    </row>
    <row r="488" spans="6:7" x14ac:dyDescent="0.3">
      <c r="F488" s="5"/>
      <c r="G488" s="5"/>
    </row>
    <row r="489" spans="6:7" x14ac:dyDescent="0.3">
      <c r="F489" s="5"/>
      <c r="G489" s="5"/>
    </row>
    <row r="490" spans="6:7" x14ac:dyDescent="0.3">
      <c r="F490" s="5"/>
      <c r="G490" s="5"/>
    </row>
    <row r="491" spans="6:7" x14ac:dyDescent="0.3">
      <c r="F491" s="5"/>
      <c r="G491" s="5"/>
    </row>
    <row r="492" spans="6:7" x14ac:dyDescent="0.3">
      <c r="F492" s="5"/>
      <c r="G492" s="5"/>
    </row>
    <row r="493" spans="6:7" x14ac:dyDescent="0.3">
      <c r="F493" s="5"/>
      <c r="G493" s="5"/>
    </row>
    <row r="494" spans="6:7" x14ac:dyDescent="0.3">
      <c r="F494" s="5"/>
      <c r="G494" s="5"/>
    </row>
    <row r="495" spans="6:7" x14ac:dyDescent="0.3">
      <c r="F495" s="5"/>
      <c r="G495" s="5"/>
    </row>
    <row r="496" spans="6:7" x14ac:dyDescent="0.3">
      <c r="F496" s="5"/>
      <c r="G496" s="5"/>
    </row>
    <row r="497" spans="6:7" x14ac:dyDescent="0.3">
      <c r="F497" s="5"/>
      <c r="G497" s="5"/>
    </row>
    <row r="498" spans="6:7" x14ac:dyDescent="0.3">
      <c r="F498" s="5"/>
      <c r="G498" s="5"/>
    </row>
    <row r="499" spans="6:7" x14ac:dyDescent="0.3">
      <c r="F499" s="5"/>
      <c r="G499" s="5"/>
    </row>
    <row r="500" spans="6:7" x14ac:dyDescent="0.3">
      <c r="F500" s="5"/>
      <c r="G500" s="5"/>
    </row>
    <row r="501" spans="6:7" x14ac:dyDescent="0.3">
      <c r="F501" s="5"/>
      <c r="G501" s="5"/>
    </row>
    <row r="502" spans="6:7" x14ac:dyDescent="0.3">
      <c r="F502" s="5"/>
      <c r="G502" s="5"/>
    </row>
    <row r="503" spans="6:7" x14ac:dyDescent="0.3">
      <c r="F503" s="5"/>
      <c r="G503" s="5"/>
    </row>
    <row r="504" spans="6:7" x14ac:dyDescent="0.3">
      <c r="F504" s="5"/>
      <c r="G504" s="5"/>
    </row>
    <row r="505" spans="6:7" x14ac:dyDescent="0.3">
      <c r="F505" s="5"/>
      <c r="G505" s="5"/>
    </row>
    <row r="506" spans="6:7" x14ac:dyDescent="0.3">
      <c r="F506" s="5"/>
      <c r="G506" s="5"/>
    </row>
    <row r="507" spans="6:7" x14ac:dyDescent="0.3">
      <c r="F507" s="5"/>
      <c r="G507" s="5"/>
    </row>
    <row r="508" spans="6:7" x14ac:dyDescent="0.3">
      <c r="F508" s="5"/>
      <c r="G508" s="5"/>
    </row>
    <row r="509" spans="6:7" x14ac:dyDescent="0.3">
      <c r="F509" s="5"/>
      <c r="G509" s="5"/>
    </row>
    <row r="510" spans="6:7" x14ac:dyDescent="0.3">
      <c r="F510" s="5"/>
      <c r="G510" s="5"/>
    </row>
    <row r="511" spans="6:7" x14ac:dyDescent="0.3">
      <c r="F511" s="5"/>
      <c r="G511" s="5"/>
    </row>
    <row r="512" spans="6:7" x14ac:dyDescent="0.3">
      <c r="F512" s="5"/>
      <c r="G512" s="5"/>
    </row>
    <row r="513" spans="6:7" x14ac:dyDescent="0.3">
      <c r="F513" s="5"/>
      <c r="G513" s="5"/>
    </row>
    <row r="514" spans="6:7" x14ac:dyDescent="0.3">
      <c r="F514" s="5"/>
      <c r="G514" s="5"/>
    </row>
    <row r="515" spans="6:7" x14ac:dyDescent="0.3">
      <c r="F515" s="5"/>
      <c r="G515" s="5"/>
    </row>
    <row r="516" spans="6:7" x14ac:dyDescent="0.3">
      <c r="F516" s="5"/>
      <c r="G516" s="5"/>
    </row>
    <row r="517" spans="6:7" x14ac:dyDescent="0.3">
      <c r="F517" s="5"/>
      <c r="G517" s="5"/>
    </row>
    <row r="518" spans="6:7" x14ac:dyDescent="0.3">
      <c r="F518" s="5"/>
      <c r="G518" s="5"/>
    </row>
    <row r="519" spans="6:7" x14ac:dyDescent="0.3">
      <c r="F519" s="5"/>
      <c r="G519" s="5"/>
    </row>
    <row r="520" spans="6:7" x14ac:dyDescent="0.3">
      <c r="F520" s="5"/>
      <c r="G520" s="5"/>
    </row>
    <row r="521" spans="6:7" x14ac:dyDescent="0.3">
      <c r="F521" s="5"/>
      <c r="G521" s="5"/>
    </row>
    <row r="522" spans="6:7" x14ac:dyDescent="0.3">
      <c r="F522" s="5"/>
      <c r="G522" s="5"/>
    </row>
    <row r="523" spans="6:7" x14ac:dyDescent="0.3">
      <c r="F523" s="5"/>
      <c r="G523" s="5"/>
    </row>
    <row r="524" spans="6:7" x14ac:dyDescent="0.3">
      <c r="F524" s="5"/>
      <c r="G524" s="5"/>
    </row>
    <row r="525" spans="6:7" x14ac:dyDescent="0.3">
      <c r="F525" s="5"/>
      <c r="G525" s="5"/>
    </row>
    <row r="526" spans="6:7" x14ac:dyDescent="0.3">
      <c r="F526" s="5"/>
      <c r="G526" s="5"/>
    </row>
    <row r="527" spans="6:7" x14ac:dyDescent="0.3">
      <c r="F527" s="5"/>
      <c r="G527" s="5"/>
    </row>
    <row r="528" spans="6:7" x14ac:dyDescent="0.3">
      <c r="F528" s="5"/>
      <c r="G528" s="5"/>
    </row>
    <row r="529" spans="6:7" x14ac:dyDescent="0.3">
      <c r="F529" s="5"/>
      <c r="G529" s="5"/>
    </row>
    <row r="530" spans="6:7" x14ac:dyDescent="0.3">
      <c r="F530" s="5"/>
      <c r="G530" s="5"/>
    </row>
    <row r="531" spans="6:7" x14ac:dyDescent="0.3">
      <c r="F531" s="5"/>
      <c r="G531" s="5"/>
    </row>
    <row r="532" spans="6:7" x14ac:dyDescent="0.3">
      <c r="F532" s="5"/>
      <c r="G532" s="5"/>
    </row>
    <row r="533" spans="6:7" x14ac:dyDescent="0.3">
      <c r="F533" s="5"/>
      <c r="G533" s="5"/>
    </row>
    <row r="534" spans="6:7" x14ac:dyDescent="0.3">
      <c r="F534" s="5"/>
      <c r="G534" s="5"/>
    </row>
    <row r="535" spans="6:7" x14ac:dyDescent="0.3">
      <c r="F535" s="5"/>
      <c r="G535" s="5"/>
    </row>
    <row r="536" spans="6:7" x14ac:dyDescent="0.3">
      <c r="F536" s="5"/>
      <c r="G536" s="5"/>
    </row>
    <row r="537" spans="6:7" x14ac:dyDescent="0.3">
      <c r="F537" s="5"/>
      <c r="G537" s="5"/>
    </row>
    <row r="538" spans="6:7" x14ac:dyDescent="0.3">
      <c r="F538" s="5"/>
      <c r="G538" s="5"/>
    </row>
    <row r="539" spans="6:7" x14ac:dyDescent="0.3">
      <c r="F539" s="5"/>
      <c r="G539" s="5"/>
    </row>
    <row r="540" spans="6:7" x14ac:dyDescent="0.3">
      <c r="F540" s="5"/>
      <c r="G540" s="5"/>
    </row>
    <row r="541" spans="6:7" x14ac:dyDescent="0.3">
      <c r="F541" s="5"/>
      <c r="G541" s="5"/>
    </row>
    <row r="542" spans="6:7" x14ac:dyDescent="0.3">
      <c r="F542" s="5"/>
      <c r="G542" s="5"/>
    </row>
    <row r="543" spans="6:7" x14ac:dyDescent="0.3">
      <c r="F543" s="5"/>
      <c r="G543" s="5"/>
    </row>
    <row r="544" spans="6:7" x14ac:dyDescent="0.3">
      <c r="F544" s="5"/>
      <c r="G544" s="5"/>
    </row>
    <row r="545" spans="6:7" x14ac:dyDescent="0.3">
      <c r="F545" s="5"/>
      <c r="G545" s="5"/>
    </row>
    <row r="546" spans="6:7" x14ac:dyDescent="0.3">
      <c r="F546" s="5"/>
      <c r="G546" s="5"/>
    </row>
    <row r="547" spans="6:7" x14ac:dyDescent="0.3">
      <c r="F547" s="5"/>
      <c r="G547" s="5"/>
    </row>
    <row r="548" spans="6:7" x14ac:dyDescent="0.3">
      <c r="F548" s="5"/>
      <c r="G548" s="5"/>
    </row>
    <row r="549" spans="6:7" x14ac:dyDescent="0.3">
      <c r="F549" s="5"/>
      <c r="G549" s="5"/>
    </row>
    <row r="550" spans="6:7" x14ac:dyDescent="0.3">
      <c r="F550" s="5"/>
      <c r="G550" s="5"/>
    </row>
    <row r="551" spans="6:7" x14ac:dyDescent="0.3">
      <c r="F551" s="5"/>
      <c r="G551" s="5"/>
    </row>
    <row r="552" spans="6:7" x14ac:dyDescent="0.3">
      <c r="F552" s="5"/>
      <c r="G552" s="5"/>
    </row>
    <row r="553" spans="6:7" x14ac:dyDescent="0.3">
      <c r="F553" s="5"/>
      <c r="G553" s="5"/>
    </row>
    <row r="554" spans="6:7" x14ac:dyDescent="0.3">
      <c r="F554" s="5"/>
      <c r="G554" s="5"/>
    </row>
    <row r="555" spans="6:7" x14ac:dyDescent="0.3">
      <c r="F555" s="5"/>
      <c r="G555" s="5"/>
    </row>
    <row r="556" spans="6:7" x14ac:dyDescent="0.3">
      <c r="F556" s="5"/>
      <c r="G556" s="5"/>
    </row>
    <row r="557" spans="6:7" x14ac:dyDescent="0.3">
      <c r="F557" s="5"/>
      <c r="G557" s="5"/>
    </row>
    <row r="558" spans="6:7" x14ac:dyDescent="0.3">
      <c r="F558" s="5"/>
      <c r="G558" s="5"/>
    </row>
    <row r="559" spans="6:7" x14ac:dyDescent="0.3">
      <c r="F559" s="5"/>
      <c r="G559" s="5"/>
    </row>
    <row r="560" spans="6:7" x14ac:dyDescent="0.3">
      <c r="F560" s="5"/>
      <c r="G560" s="5"/>
    </row>
    <row r="561" spans="6:7" x14ac:dyDescent="0.3">
      <c r="F561" s="5"/>
      <c r="G561" s="5"/>
    </row>
    <row r="562" spans="6:7" x14ac:dyDescent="0.3">
      <c r="F562" s="5"/>
      <c r="G562" s="5"/>
    </row>
    <row r="563" spans="6:7" x14ac:dyDescent="0.3">
      <c r="F563" s="5"/>
      <c r="G563" s="5"/>
    </row>
    <row r="564" spans="6:7" x14ac:dyDescent="0.3">
      <c r="F564" s="5"/>
      <c r="G564" s="5"/>
    </row>
    <row r="565" spans="6:7" x14ac:dyDescent="0.3">
      <c r="F565" s="5"/>
      <c r="G565" s="5"/>
    </row>
    <row r="566" spans="6:7" x14ac:dyDescent="0.3">
      <c r="F566" s="5"/>
      <c r="G566" s="5"/>
    </row>
    <row r="567" spans="6:7" x14ac:dyDescent="0.3">
      <c r="F567" s="5"/>
      <c r="G567" s="5"/>
    </row>
    <row r="568" spans="6:7" x14ac:dyDescent="0.3">
      <c r="F568" s="5"/>
      <c r="G568" s="5"/>
    </row>
    <row r="569" spans="6:7" x14ac:dyDescent="0.3">
      <c r="F569" s="5"/>
      <c r="G569" s="5"/>
    </row>
    <row r="570" spans="6:7" x14ac:dyDescent="0.3">
      <c r="F570" s="5"/>
      <c r="G570" s="5"/>
    </row>
    <row r="571" spans="6:7" x14ac:dyDescent="0.3">
      <c r="F571" s="5"/>
      <c r="G571" s="5"/>
    </row>
    <row r="572" spans="6:7" x14ac:dyDescent="0.3">
      <c r="F572" s="5"/>
      <c r="G572" s="5"/>
    </row>
    <row r="573" spans="6:7" x14ac:dyDescent="0.3">
      <c r="F573" s="5"/>
      <c r="G573" s="5"/>
    </row>
    <row r="574" spans="6:7" x14ac:dyDescent="0.3">
      <c r="F574" s="5"/>
      <c r="G574" s="5"/>
    </row>
    <row r="575" spans="6:7" x14ac:dyDescent="0.3">
      <c r="F575" s="5"/>
      <c r="G575" s="5"/>
    </row>
    <row r="576" spans="6:7" x14ac:dyDescent="0.3">
      <c r="F576" s="5"/>
      <c r="G576" s="5"/>
    </row>
    <row r="577" spans="6:7" x14ac:dyDescent="0.3">
      <c r="F577" s="5"/>
      <c r="G577" s="5"/>
    </row>
    <row r="578" spans="6:7" x14ac:dyDescent="0.3">
      <c r="F578" s="5"/>
      <c r="G578" s="5"/>
    </row>
    <row r="579" spans="6:7" x14ac:dyDescent="0.3">
      <c r="F579" s="5"/>
      <c r="G579" s="5"/>
    </row>
    <row r="580" spans="6:7" x14ac:dyDescent="0.3">
      <c r="F580" s="5"/>
      <c r="G580" s="5"/>
    </row>
    <row r="581" spans="6:7" x14ac:dyDescent="0.3">
      <c r="F581" s="5"/>
      <c r="G581" s="5"/>
    </row>
    <row r="582" spans="6:7" x14ac:dyDescent="0.3">
      <c r="F582" s="5"/>
      <c r="G582" s="5"/>
    </row>
    <row r="583" spans="6:7" x14ac:dyDescent="0.3">
      <c r="F583" s="5"/>
      <c r="G583" s="5"/>
    </row>
    <row r="584" spans="6:7" x14ac:dyDescent="0.3">
      <c r="F584" s="5"/>
      <c r="G584" s="5"/>
    </row>
    <row r="585" spans="6:7" x14ac:dyDescent="0.3">
      <c r="F585" s="5"/>
      <c r="G585" s="5"/>
    </row>
    <row r="586" spans="6:7" x14ac:dyDescent="0.3">
      <c r="F586" s="5"/>
      <c r="G586" s="5"/>
    </row>
    <row r="587" spans="6:7" x14ac:dyDescent="0.3">
      <c r="F587" s="5"/>
      <c r="G587" s="5"/>
    </row>
    <row r="588" spans="6:7" x14ac:dyDescent="0.3">
      <c r="F588" s="5"/>
      <c r="G588" s="5"/>
    </row>
    <row r="589" spans="6:7" x14ac:dyDescent="0.3">
      <c r="F589" s="5"/>
      <c r="G589" s="5"/>
    </row>
    <row r="590" spans="6:7" x14ac:dyDescent="0.3">
      <c r="F590" s="5"/>
      <c r="G590" s="5"/>
    </row>
    <row r="591" spans="6:7" x14ac:dyDescent="0.3">
      <c r="F591" s="5"/>
      <c r="G591" s="5"/>
    </row>
    <row r="592" spans="6:7" x14ac:dyDescent="0.3">
      <c r="F592" s="5"/>
      <c r="G592" s="5"/>
    </row>
    <row r="593" spans="6:7" x14ac:dyDescent="0.3">
      <c r="F593" s="5"/>
      <c r="G593" s="5"/>
    </row>
    <row r="594" spans="6:7" x14ac:dyDescent="0.3">
      <c r="F594" s="5"/>
      <c r="G594" s="5"/>
    </row>
    <row r="595" spans="6:7" x14ac:dyDescent="0.3">
      <c r="F595" s="5"/>
      <c r="G595" s="5"/>
    </row>
    <row r="596" spans="6:7" x14ac:dyDescent="0.3">
      <c r="F596" s="5"/>
      <c r="G596" s="5"/>
    </row>
    <row r="597" spans="6:7" x14ac:dyDescent="0.3">
      <c r="F597" s="5"/>
      <c r="G597" s="5"/>
    </row>
    <row r="598" spans="6:7" x14ac:dyDescent="0.3">
      <c r="F598" s="5"/>
      <c r="G598" s="5"/>
    </row>
    <row r="599" spans="6:7" x14ac:dyDescent="0.3">
      <c r="F599" s="5"/>
      <c r="G599" s="5"/>
    </row>
    <row r="600" spans="6:7" x14ac:dyDescent="0.3">
      <c r="F600" s="5"/>
      <c r="G600" s="5"/>
    </row>
    <row r="601" spans="6:7" x14ac:dyDescent="0.3">
      <c r="F601" s="5"/>
      <c r="G601" s="5"/>
    </row>
    <row r="602" spans="6:7" x14ac:dyDescent="0.3">
      <c r="F602" s="5"/>
      <c r="G602" s="5"/>
    </row>
    <row r="603" spans="6:7" x14ac:dyDescent="0.3">
      <c r="F603" s="5"/>
      <c r="G603" s="5"/>
    </row>
    <row r="604" spans="6:7" x14ac:dyDescent="0.3">
      <c r="F604" s="5"/>
      <c r="G604" s="5"/>
    </row>
    <row r="605" spans="6:7" x14ac:dyDescent="0.3">
      <c r="F605" s="5"/>
      <c r="G605" s="5"/>
    </row>
    <row r="606" spans="6:7" x14ac:dyDescent="0.3">
      <c r="F606" s="5"/>
      <c r="G606" s="5"/>
    </row>
    <row r="607" spans="6:7" x14ac:dyDescent="0.3">
      <c r="F607" s="5"/>
      <c r="G607" s="5"/>
    </row>
    <row r="608" spans="6:7" x14ac:dyDescent="0.3">
      <c r="F608" s="5"/>
      <c r="G608" s="5"/>
    </row>
    <row r="609" spans="6:7" x14ac:dyDescent="0.3">
      <c r="F609" s="5"/>
      <c r="G609" s="5"/>
    </row>
    <row r="610" spans="6:7" x14ac:dyDescent="0.3">
      <c r="F610" s="5"/>
      <c r="G610" s="5"/>
    </row>
    <row r="611" spans="6:7" x14ac:dyDescent="0.3">
      <c r="F611" s="5"/>
      <c r="G611" s="5"/>
    </row>
    <row r="612" spans="6:7" x14ac:dyDescent="0.3">
      <c r="F612" s="5"/>
      <c r="G612" s="5"/>
    </row>
    <row r="613" spans="6:7" x14ac:dyDescent="0.3">
      <c r="F613" s="5"/>
      <c r="G613" s="5"/>
    </row>
    <row r="614" spans="6:7" x14ac:dyDescent="0.3">
      <c r="F614" s="5"/>
      <c r="G614" s="5"/>
    </row>
    <row r="615" spans="6:7" x14ac:dyDescent="0.3">
      <c r="F615" s="5"/>
      <c r="G615" s="5"/>
    </row>
    <row r="616" spans="6:7" x14ac:dyDescent="0.3">
      <c r="F616" s="5"/>
      <c r="G616" s="5"/>
    </row>
    <row r="617" spans="6:7" x14ac:dyDescent="0.3">
      <c r="F617" s="5"/>
      <c r="G617" s="5"/>
    </row>
    <row r="618" spans="6:7" x14ac:dyDescent="0.3">
      <c r="F618" s="5"/>
      <c r="G618" s="5"/>
    </row>
    <row r="619" spans="6:7" x14ac:dyDescent="0.3">
      <c r="F619" s="5"/>
      <c r="G619" s="5"/>
    </row>
    <row r="620" spans="6:7" x14ac:dyDescent="0.3">
      <c r="F620" s="5"/>
      <c r="G620" s="5"/>
    </row>
    <row r="621" spans="6:7" x14ac:dyDescent="0.3">
      <c r="F621" s="5"/>
      <c r="G621" s="5"/>
    </row>
    <row r="622" spans="6:7" x14ac:dyDescent="0.3">
      <c r="F622" s="5"/>
      <c r="G622" s="5"/>
    </row>
    <row r="623" spans="6:7" x14ac:dyDescent="0.3">
      <c r="F623" s="5"/>
      <c r="G623" s="5"/>
    </row>
    <row r="624" spans="6:7" x14ac:dyDescent="0.3">
      <c r="F624" s="5"/>
      <c r="G624" s="5"/>
    </row>
    <row r="625" spans="6:7" x14ac:dyDescent="0.3">
      <c r="F625" s="5"/>
      <c r="G625" s="5"/>
    </row>
    <row r="626" spans="6:7" x14ac:dyDescent="0.3">
      <c r="F626" s="5"/>
      <c r="G626" s="5"/>
    </row>
    <row r="627" spans="6:7" x14ac:dyDescent="0.3">
      <c r="F627" s="5"/>
      <c r="G627" s="5"/>
    </row>
    <row r="628" spans="6:7" x14ac:dyDescent="0.3">
      <c r="F628" s="5"/>
      <c r="G628" s="5"/>
    </row>
    <row r="629" spans="6:7" x14ac:dyDescent="0.3">
      <c r="F629" s="5"/>
      <c r="G629" s="5"/>
    </row>
    <row r="630" spans="6:7" x14ac:dyDescent="0.3">
      <c r="F630" s="5"/>
      <c r="G630" s="5"/>
    </row>
    <row r="631" spans="6:7" x14ac:dyDescent="0.3">
      <c r="F631" s="5"/>
      <c r="G631" s="5"/>
    </row>
    <row r="632" spans="6:7" x14ac:dyDescent="0.3">
      <c r="F632" s="5"/>
      <c r="G632" s="5"/>
    </row>
    <row r="633" spans="6:7" x14ac:dyDescent="0.3">
      <c r="F633" s="5"/>
      <c r="G633" s="5"/>
    </row>
    <row r="634" spans="6:7" x14ac:dyDescent="0.3">
      <c r="F634" s="5"/>
      <c r="G634" s="5"/>
    </row>
    <row r="635" spans="6:7" x14ac:dyDescent="0.3">
      <c r="F635" s="5"/>
      <c r="G635" s="5"/>
    </row>
    <row r="636" spans="6:7" x14ac:dyDescent="0.3">
      <c r="F636" s="5"/>
      <c r="G636" s="5"/>
    </row>
    <row r="637" spans="6:7" x14ac:dyDescent="0.3">
      <c r="F637" s="5"/>
      <c r="G637" s="5"/>
    </row>
    <row r="638" spans="6:7" x14ac:dyDescent="0.3">
      <c r="F638" s="5"/>
      <c r="G638" s="5"/>
    </row>
    <row r="639" spans="6:7" x14ac:dyDescent="0.3">
      <c r="F639" s="5"/>
      <c r="G639" s="5"/>
    </row>
    <row r="640" spans="6:7" x14ac:dyDescent="0.3">
      <c r="F640" s="5"/>
      <c r="G640" s="5"/>
    </row>
    <row r="641" spans="6:7" x14ac:dyDescent="0.3">
      <c r="F641" s="5"/>
      <c r="G641" s="5"/>
    </row>
    <row r="642" spans="6:7" x14ac:dyDescent="0.3">
      <c r="F642" s="5"/>
      <c r="G642" s="5"/>
    </row>
    <row r="643" spans="6:7" x14ac:dyDescent="0.3">
      <c r="F643" s="5"/>
      <c r="G643" s="5"/>
    </row>
    <row r="644" spans="6:7" x14ac:dyDescent="0.3">
      <c r="F644" s="5"/>
      <c r="G644" s="5"/>
    </row>
    <row r="645" spans="6:7" x14ac:dyDescent="0.3">
      <c r="F645" s="5"/>
      <c r="G645" s="5"/>
    </row>
    <row r="646" spans="6:7" x14ac:dyDescent="0.3">
      <c r="F646" s="5"/>
      <c r="G646" s="5"/>
    </row>
    <row r="647" spans="6:7" x14ac:dyDescent="0.3">
      <c r="F647" s="5"/>
      <c r="G647" s="5"/>
    </row>
    <row r="648" spans="6:7" x14ac:dyDescent="0.3">
      <c r="F648" s="5"/>
      <c r="G648" s="5"/>
    </row>
    <row r="649" spans="6:7" x14ac:dyDescent="0.3">
      <c r="F649" s="5"/>
      <c r="G649" s="5"/>
    </row>
    <row r="650" spans="6:7" x14ac:dyDescent="0.3">
      <c r="F650" s="5"/>
      <c r="G650" s="5"/>
    </row>
    <row r="651" spans="6:7" x14ac:dyDescent="0.3">
      <c r="F651" s="5"/>
      <c r="G651" s="5"/>
    </row>
    <row r="652" spans="6:7" x14ac:dyDescent="0.3">
      <c r="F652" s="5"/>
      <c r="G652" s="5"/>
    </row>
    <row r="653" spans="6:7" x14ac:dyDescent="0.3">
      <c r="F653" s="5"/>
      <c r="G653" s="5"/>
    </row>
    <row r="654" spans="6:7" x14ac:dyDescent="0.3">
      <c r="F654" s="5"/>
      <c r="G654" s="5"/>
    </row>
    <row r="655" spans="6:7" x14ac:dyDescent="0.3">
      <c r="F655" s="5"/>
      <c r="G655" s="5"/>
    </row>
    <row r="656" spans="6:7" x14ac:dyDescent="0.3">
      <c r="F656" s="5"/>
      <c r="G656" s="5"/>
    </row>
    <row r="657" spans="6:7" x14ac:dyDescent="0.3">
      <c r="F657" s="5"/>
      <c r="G657" s="5"/>
    </row>
    <row r="658" spans="6:7" x14ac:dyDescent="0.3">
      <c r="F658" s="5"/>
      <c r="G658" s="5"/>
    </row>
    <row r="659" spans="6:7" x14ac:dyDescent="0.3">
      <c r="F659" s="5"/>
      <c r="G659" s="5"/>
    </row>
    <row r="660" spans="6:7" x14ac:dyDescent="0.3">
      <c r="F660" s="5"/>
      <c r="G660" s="5"/>
    </row>
    <row r="661" spans="6:7" x14ac:dyDescent="0.3">
      <c r="F661" s="5"/>
      <c r="G661" s="5"/>
    </row>
    <row r="662" spans="6:7" x14ac:dyDescent="0.3">
      <c r="F662" s="5"/>
      <c r="G662" s="5"/>
    </row>
    <row r="663" spans="6:7" x14ac:dyDescent="0.3">
      <c r="F663" s="5"/>
      <c r="G663" s="5"/>
    </row>
    <row r="664" spans="6:7" x14ac:dyDescent="0.3">
      <c r="F664" s="5"/>
      <c r="G664" s="5"/>
    </row>
    <row r="665" spans="6:7" x14ac:dyDescent="0.3">
      <c r="F665" s="5"/>
      <c r="G665" s="5"/>
    </row>
    <row r="666" spans="6:7" x14ac:dyDescent="0.3">
      <c r="F666" s="5"/>
      <c r="G666" s="5"/>
    </row>
    <row r="667" spans="6:7" x14ac:dyDescent="0.3">
      <c r="F667" s="5"/>
      <c r="G667" s="5"/>
    </row>
    <row r="668" spans="6:7" x14ac:dyDescent="0.3">
      <c r="F668" s="5"/>
      <c r="G668" s="5"/>
    </row>
    <row r="669" spans="6:7" x14ac:dyDescent="0.3">
      <c r="F669" s="5"/>
      <c r="G669" s="5"/>
    </row>
    <row r="670" spans="6:7" x14ac:dyDescent="0.3">
      <c r="F670" s="5"/>
      <c r="G670" s="5"/>
    </row>
    <row r="671" spans="6:7" x14ac:dyDescent="0.3">
      <c r="F671" s="5"/>
      <c r="G671" s="5"/>
    </row>
    <row r="672" spans="6:7" x14ac:dyDescent="0.3">
      <c r="F672" s="5"/>
      <c r="G672" s="5"/>
    </row>
    <row r="673" spans="6:7" x14ac:dyDescent="0.3">
      <c r="F673" s="5"/>
      <c r="G673" s="5"/>
    </row>
    <row r="674" spans="6:7" x14ac:dyDescent="0.3">
      <c r="F674" s="5"/>
      <c r="G674" s="5"/>
    </row>
    <row r="675" spans="6:7" x14ac:dyDescent="0.3">
      <c r="F675" s="5"/>
      <c r="G675" s="5"/>
    </row>
    <row r="676" spans="6:7" x14ac:dyDescent="0.3">
      <c r="F676" s="5"/>
      <c r="G676" s="5"/>
    </row>
    <row r="677" spans="6:7" x14ac:dyDescent="0.3">
      <c r="F677" s="5"/>
      <c r="G677" s="5"/>
    </row>
    <row r="678" spans="6:7" x14ac:dyDescent="0.3">
      <c r="F678" s="5"/>
      <c r="G678" s="5"/>
    </row>
    <row r="679" spans="6:7" x14ac:dyDescent="0.3">
      <c r="F679" s="5"/>
      <c r="G679" s="5"/>
    </row>
    <row r="680" spans="6:7" x14ac:dyDescent="0.3">
      <c r="F680" s="5"/>
      <c r="G680" s="5"/>
    </row>
    <row r="681" spans="6:7" x14ac:dyDescent="0.3">
      <c r="F681" s="5"/>
      <c r="G681" s="5"/>
    </row>
    <row r="682" spans="6:7" x14ac:dyDescent="0.3">
      <c r="F682" s="5"/>
      <c r="G682" s="5"/>
    </row>
    <row r="683" spans="6:7" x14ac:dyDescent="0.3">
      <c r="F683" s="5"/>
      <c r="G683" s="5"/>
    </row>
    <row r="684" spans="6:7" x14ac:dyDescent="0.3">
      <c r="F684" s="5"/>
      <c r="G684" s="5"/>
    </row>
    <row r="685" spans="6:7" x14ac:dyDescent="0.3">
      <c r="F685" s="5"/>
      <c r="G685" s="5"/>
    </row>
    <row r="686" spans="6:7" x14ac:dyDescent="0.3">
      <c r="F686" s="5"/>
      <c r="G686" s="5"/>
    </row>
    <row r="687" spans="6:7" x14ac:dyDescent="0.3">
      <c r="F687" s="5"/>
      <c r="G687" s="5"/>
    </row>
    <row r="688" spans="6:7" x14ac:dyDescent="0.3">
      <c r="F688" s="5"/>
      <c r="G688" s="5"/>
    </row>
    <row r="689" spans="6:7" x14ac:dyDescent="0.3">
      <c r="F689" s="5"/>
      <c r="G689" s="5"/>
    </row>
    <row r="690" spans="6:7" x14ac:dyDescent="0.3">
      <c r="F690" s="5"/>
      <c r="G690" s="5"/>
    </row>
    <row r="691" spans="6:7" x14ac:dyDescent="0.3">
      <c r="F691" s="5"/>
      <c r="G691" s="5"/>
    </row>
    <row r="692" spans="6:7" x14ac:dyDescent="0.3">
      <c r="F692" s="5"/>
      <c r="G692" s="5"/>
    </row>
    <row r="693" spans="6:7" x14ac:dyDescent="0.3">
      <c r="F693" s="5"/>
      <c r="G693" s="5"/>
    </row>
    <row r="694" spans="6:7" x14ac:dyDescent="0.3">
      <c r="F694" s="5"/>
      <c r="G694" s="5"/>
    </row>
    <row r="695" spans="6:7" x14ac:dyDescent="0.3">
      <c r="F695" s="5"/>
      <c r="G695" s="5"/>
    </row>
    <row r="696" spans="6:7" x14ac:dyDescent="0.3">
      <c r="F696" s="5"/>
      <c r="G696" s="5"/>
    </row>
    <row r="697" spans="6:7" x14ac:dyDescent="0.3">
      <c r="F697" s="5"/>
      <c r="G697" s="5"/>
    </row>
    <row r="698" spans="6:7" x14ac:dyDescent="0.3">
      <c r="F698" s="5"/>
      <c r="G698" s="5"/>
    </row>
    <row r="699" spans="6:7" x14ac:dyDescent="0.3">
      <c r="F699" s="5"/>
      <c r="G699" s="5"/>
    </row>
    <row r="700" spans="6:7" x14ac:dyDescent="0.3">
      <c r="F700" s="5"/>
      <c r="G700" s="5"/>
    </row>
    <row r="701" spans="6:7" x14ac:dyDescent="0.3">
      <c r="F701" s="5"/>
      <c r="G701" s="5"/>
    </row>
    <row r="702" spans="6:7" x14ac:dyDescent="0.3">
      <c r="F702" s="5"/>
      <c r="G702" s="5"/>
    </row>
    <row r="703" spans="6:7" x14ac:dyDescent="0.3">
      <c r="F703" s="5"/>
      <c r="G703" s="5"/>
    </row>
    <row r="704" spans="6:7" x14ac:dyDescent="0.3">
      <c r="F704" s="5"/>
      <c r="G704" s="5"/>
    </row>
    <row r="705" spans="6:7" x14ac:dyDescent="0.3">
      <c r="F705" s="5"/>
      <c r="G705" s="5"/>
    </row>
    <row r="706" spans="6:7" x14ac:dyDescent="0.3">
      <c r="F706" s="5"/>
      <c r="G706" s="5"/>
    </row>
    <row r="707" spans="6:7" x14ac:dyDescent="0.3">
      <c r="F707" s="5"/>
      <c r="G707" s="5"/>
    </row>
    <row r="708" spans="6:7" x14ac:dyDescent="0.3">
      <c r="F708" s="5"/>
      <c r="G708" s="5"/>
    </row>
    <row r="709" spans="6:7" x14ac:dyDescent="0.3">
      <c r="F709" s="5"/>
      <c r="G709" s="5"/>
    </row>
    <row r="710" spans="6:7" x14ac:dyDescent="0.3">
      <c r="F710" s="5"/>
      <c r="G710" s="5"/>
    </row>
    <row r="711" spans="6:7" x14ac:dyDescent="0.3">
      <c r="F711" s="5"/>
      <c r="G711" s="5"/>
    </row>
    <row r="712" spans="6:7" x14ac:dyDescent="0.3">
      <c r="F712" s="5"/>
      <c r="G712" s="5"/>
    </row>
    <row r="713" spans="6:7" x14ac:dyDescent="0.3">
      <c r="F713" s="5"/>
      <c r="G713" s="5"/>
    </row>
    <row r="714" spans="6:7" x14ac:dyDescent="0.3">
      <c r="F714" s="5"/>
      <c r="G714" s="5"/>
    </row>
    <row r="715" spans="6:7" x14ac:dyDescent="0.3">
      <c r="F715" s="5"/>
      <c r="G715" s="5"/>
    </row>
    <row r="716" spans="6:7" x14ac:dyDescent="0.3">
      <c r="F716" s="5"/>
      <c r="G716" s="5"/>
    </row>
    <row r="717" spans="6:7" x14ac:dyDescent="0.3">
      <c r="F717" s="5"/>
      <c r="G717" s="5"/>
    </row>
    <row r="718" spans="6:7" x14ac:dyDescent="0.3">
      <c r="F718" s="5"/>
      <c r="G718" s="5"/>
    </row>
    <row r="719" spans="6:7" x14ac:dyDescent="0.3">
      <c r="F719" s="5"/>
      <c r="G719" s="5"/>
    </row>
    <row r="720" spans="6:7" x14ac:dyDescent="0.3">
      <c r="F720" s="5"/>
      <c r="G720" s="5"/>
    </row>
    <row r="721" spans="6:7" x14ac:dyDescent="0.3">
      <c r="F721" s="5"/>
      <c r="G721" s="5"/>
    </row>
    <row r="722" spans="6:7" x14ac:dyDescent="0.3">
      <c r="F722" s="5"/>
      <c r="G722" s="5"/>
    </row>
    <row r="723" spans="6:7" x14ac:dyDescent="0.3">
      <c r="F723" s="5"/>
      <c r="G723" s="5"/>
    </row>
    <row r="724" spans="6:7" x14ac:dyDescent="0.3">
      <c r="F724" s="5"/>
      <c r="G724" s="5"/>
    </row>
    <row r="725" spans="6:7" x14ac:dyDescent="0.3">
      <c r="F725" s="5"/>
      <c r="G725" s="5"/>
    </row>
    <row r="726" spans="6:7" x14ac:dyDescent="0.3">
      <c r="F726" s="5"/>
      <c r="G726" s="5"/>
    </row>
    <row r="727" spans="6:7" x14ac:dyDescent="0.3">
      <c r="F727" s="5"/>
      <c r="G727" s="5"/>
    </row>
    <row r="728" spans="6:7" x14ac:dyDescent="0.3">
      <c r="F728" s="5"/>
      <c r="G728" s="5"/>
    </row>
    <row r="729" spans="6:7" x14ac:dyDescent="0.3">
      <c r="F729" s="5"/>
      <c r="G729" s="5"/>
    </row>
    <row r="730" spans="6:7" x14ac:dyDescent="0.3">
      <c r="F730" s="5"/>
      <c r="G730" s="5"/>
    </row>
    <row r="731" spans="6:7" x14ac:dyDescent="0.3">
      <c r="F731" s="5"/>
      <c r="G731" s="5"/>
    </row>
    <row r="732" spans="6:7" x14ac:dyDescent="0.3">
      <c r="F732" s="5"/>
      <c r="G732" s="5"/>
    </row>
    <row r="733" spans="6:7" x14ac:dyDescent="0.3">
      <c r="F733" s="5"/>
      <c r="G733" s="5"/>
    </row>
    <row r="734" spans="6:7" x14ac:dyDescent="0.3">
      <c r="F734" s="5"/>
      <c r="G734" s="5"/>
    </row>
    <row r="735" spans="6:7" x14ac:dyDescent="0.3">
      <c r="F735" s="5"/>
      <c r="G735" s="5"/>
    </row>
    <row r="736" spans="6:7" x14ac:dyDescent="0.3">
      <c r="F736" s="5"/>
      <c r="G736" s="5"/>
    </row>
    <row r="737" spans="6:7" x14ac:dyDescent="0.3">
      <c r="F737" s="5"/>
      <c r="G737" s="5"/>
    </row>
    <row r="738" spans="6:7" x14ac:dyDescent="0.3">
      <c r="F738" s="5"/>
      <c r="G738" s="5"/>
    </row>
    <row r="739" spans="6:7" x14ac:dyDescent="0.3">
      <c r="F739" s="5"/>
      <c r="G739" s="5"/>
    </row>
    <row r="740" spans="6:7" x14ac:dyDescent="0.3">
      <c r="F740" s="5"/>
      <c r="G740" s="5"/>
    </row>
    <row r="741" spans="6:7" x14ac:dyDescent="0.3">
      <c r="F741" s="5"/>
      <c r="G741" s="5"/>
    </row>
    <row r="742" spans="6:7" x14ac:dyDescent="0.3">
      <c r="F742" s="5"/>
      <c r="G742" s="5"/>
    </row>
    <row r="743" spans="6:7" x14ac:dyDescent="0.3">
      <c r="F743" s="5"/>
      <c r="G743" s="5"/>
    </row>
    <row r="744" spans="6:7" x14ac:dyDescent="0.3">
      <c r="F744" s="5"/>
      <c r="G744" s="5"/>
    </row>
    <row r="745" spans="6:7" x14ac:dyDescent="0.3">
      <c r="F745" s="5"/>
      <c r="G745" s="5"/>
    </row>
    <row r="746" spans="6:7" x14ac:dyDescent="0.3">
      <c r="F746" s="5"/>
      <c r="G746" s="5"/>
    </row>
    <row r="747" spans="6:7" x14ac:dyDescent="0.3">
      <c r="F747" s="5"/>
      <c r="G747" s="5"/>
    </row>
    <row r="748" spans="6:7" x14ac:dyDescent="0.3">
      <c r="F748" s="5"/>
      <c r="G748" s="5"/>
    </row>
    <row r="749" spans="6:7" x14ac:dyDescent="0.3">
      <c r="F749" s="5"/>
      <c r="G749" s="5"/>
    </row>
    <row r="750" spans="6:7" x14ac:dyDescent="0.3">
      <c r="F750" s="5"/>
      <c r="G750" s="5"/>
    </row>
    <row r="751" spans="6:7" x14ac:dyDescent="0.3">
      <c r="F751" s="5"/>
      <c r="G751" s="5"/>
    </row>
    <row r="752" spans="6:7" x14ac:dyDescent="0.3">
      <c r="F752" s="5"/>
      <c r="G752" s="5"/>
    </row>
    <row r="753" spans="6:7" x14ac:dyDescent="0.3">
      <c r="F753" s="5"/>
      <c r="G753" s="5"/>
    </row>
    <row r="754" spans="6:7" x14ac:dyDescent="0.3">
      <c r="F754" s="5"/>
      <c r="G754" s="5"/>
    </row>
    <row r="755" spans="6:7" x14ac:dyDescent="0.3">
      <c r="F755" s="5"/>
      <c r="G755" s="5"/>
    </row>
    <row r="756" spans="6:7" x14ac:dyDescent="0.3">
      <c r="F756" s="5"/>
      <c r="G756" s="5"/>
    </row>
    <row r="757" spans="6:7" x14ac:dyDescent="0.3">
      <c r="F757" s="5"/>
      <c r="G757" s="5"/>
    </row>
    <row r="758" spans="6:7" x14ac:dyDescent="0.3">
      <c r="F758" s="5"/>
      <c r="G758" s="5"/>
    </row>
    <row r="759" spans="6:7" x14ac:dyDescent="0.3">
      <c r="F759" s="5"/>
      <c r="G759" s="5"/>
    </row>
    <row r="760" spans="6:7" x14ac:dyDescent="0.3">
      <c r="F760" s="5"/>
      <c r="G760" s="5"/>
    </row>
    <row r="761" spans="6:7" x14ac:dyDescent="0.3">
      <c r="F761" s="5"/>
      <c r="G761" s="5"/>
    </row>
    <row r="762" spans="6:7" x14ac:dyDescent="0.3">
      <c r="F762" s="5"/>
      <c r="G762" s="5"/>
    </row>
    <row r="763" spans="6:7" x14ac:dyDescent="0.3">
      <c r="F763" s="5"/>
      <c r="G763" s="5"/>
    </row>
    <row r="764" spans="6:7" x14ac:dyDescent="0.3">
      <c r="F764" s="5"/>
      <c r="G764" s="5"/>
    </row>
    <row r="765" spans="6:7" x14ac:dyDescent="0.3">
      <c r="F765" s="5"/>
      <c r="G765" s="5"/>
    </row>
    <row r="766" spans="6:7" x14ac:dyDescent="0.3">
      <c r="F766" s="5"/>
      <c r="G766" s="5"/>
    </row>
    <row r="767" spans="6:7" x14ac:dyDescent="0.3">
      <c r="F767" s="5"/>
      <c r="G767" s="5"/>
    </row>
    <row r="768" spans="6:7" x14ac:dyDescent="0.3">
      <c r="F768" s="5"/>
      <c r="G768" s="5"/>
    </row>
    <row r="769" spans="6:7" x14ac:dyDescent="0.3">
      <c r="F769" s="5"/>
      <c r="G769" s="5"/>
    </row>
    <row r="770" spans="6:7" x14ac:dyDescent="0.3">
      <c r="F770" s="5"/>
      <c r="G770" s="5"/>
    </row>
    <row r="771" spans="6:7" x14ac:dyDescent="0.3">
      <c r="F771" s="5"/>
      <c r="G771" s="5"/>
    </row>
    <row r="772" spans="6:7" x14ac:dyDescent="0.3">
      <c r="F772" s="5"/>
      <c r="G772" s="5"/>
    </row>
    <row r="773" spans="6:7" x14ac:dyDescent="0.3">
      <c r="F773" s="5"/>
      <c r="G773" s="5"/>
    </row>
    <row r="774" spans="6:7" x14ac:dyDescent="0.3">
      <c r="F774" s="5"/>
      <c r="G774" s="5"/>
    </row>
    <row r="775" spans="6:7" x14ac:dyDescent="0.3">
      <c r="F775" s="5"/>
      <c r="G775" s="5"/>
    </row>
    <row r="776" spans="6:7" x14ac:dyDescent="0.3">
      <c r="F776" s="5"/>
      <c r="G776" s="5"/>
    </row>
    <row r="777" spans="6:7" x14ac:dyDescent="0.3">
      <c r="F777" s="5"/>
      <c r="G777" s="5"/>
    </row>
    <row r="778" spans="6:7" x14ac:dyDescent="0.3">
      <c r="F778" s="5"/>
      <c r="G778" s="5"/>
    </row>
    <row r="779" spans="6:7" x14ac:dyDescent="0.3">
      <c r="F779" s="5"/>
      <c r="G779" s="5"/>
    </row>
    <row r="780" spans="6:7" x14ac:dyDescent="0.3">
      <c r="F780" s="5"/>
      <c r="G780" s="5"/>
    </row>
    <row r="781" spans="6:7" x14ac:dyDescent="0.3">
      <c r="F781" s="5"/>
      <c r="G781" s="5"/>
    </row>
    <row r="782" spans="6:7" x14ac:dyDescent="0.3">
      <c r="F782" s="5"/>
      <c r="G782" s="5"/>
    </row>
    <row r="783" spans="6:7" x14ac:dyDescent="0.3">
      <c r="F783" s="5"/>
      <c r="G783" s="5"/>
    </row>
    <row r="784" spans="6:7" x14ac:dyDescent="0.3">
      <c r="F784" s="5"/>
      <c r="G784" s="5"/>
    </row>
    <row r="785" spans="6:7" x14ac:dyDescent="0.3">
      <c r="F785" s="5"/>
      <c r="G785" s="5"/>
    </row>
    <row r="786" spans="6:7" x14ac:dyDescent="0.3">
      <c r="F786" s="5"/>
      <c r="G786" s="5"/>
    </row>
    <row r="787" spans="6:7" x14ac:dyDescent="0.3">
      <c r="F787" s="5"/>
      <c r="G787" s="5"/>
    </row>
    <row r="788" spans="6:7" x14ac:dyDescent="0.3">
      <c r="F788" s="5"/>
      <c r="G788" s="5"/>
    </row>
    <row r="789" spans="6:7" x14ac:dyDescent="0.3">
      <c r="F789" s="5"/>
      <c r="G789" s="5"/>
    </row>
    <row r="790" spans="6:7" x14ac:dyDescent="0.3">
      <c r="F790" s="5"/>
      <c r="G790" s="5"/>
    </row>
    <row r="791" spans="6:7" x14ac:dyDescent="0.3">
      <c r="F791" s="5"/>
      <c r="G791" s="5"/>
    </row>
    <row r="792" spans="6:7" x14ac:dyDescent="0.3">
      <c r="F792" s="5"/>
      <c r="G792" s="5"/>
    </row>
    <row r="793" spans="6:7" x14ac:dyDescent="0.3">
      <c r="F793" s="5"/>
      <c r="G793" s="5"/>
    </row>
    <row r="794" spans="6:7" x14ac:dyDescent="0.3">
      <c r="F794" s="5"/>
      <c r="G794" s="5"/>
    </row>
    <row r="795" spans="6:7" x14ac:dyDescent="0.3">
      <c r="F795" s="5"/>
      <c r="G795" s="5"/>
    </row>
    <row r="796" spans="6:7" x14ac:dyDescent="0.3">
      <c r="F796" s="5"/>
      <c r="G796" s="5"/>
    </row>
    <row r="797" spans="6:7" x14ac:dyDescent="0.3">
      <c r="F797" s="5"/>
      <c r="G797" s="5"/>
    </row>
    <row r="798" spans="6:7" x14ac:dyDescent="0.3">
      <c r="F798" s="5"/>
      <c r="G798" s="5"/>
    </row>
    <row r="799" spans="6:7" x14ac:dyDescent="0.3">
      <c r="F799" s="5"/>
      <c r="G799" s="5"/>
    </row>
    <row r="800" spans="6:7" x14ac:dyDescent="0.3">
      <c r="F800" s="5"/>
      <c r="G800" s="5"/>
    </row>
    <row r="801" spans="6:7" x14ac:dyDescent="0.3">
      <c r="F801" s="5"/>
      <c r="G801" s="5"/>
    </row>
    <row r="802" spans="6:7" x14ac:dyDescent="0.3">
      <c r="F802" s="5"/>
      <c r="G802" s="5"/>
    </row>
    <row r="803" spans="6:7" x14ac:dyDescent="0.3">
      <c r="F803" s="5"/>
      <c r="G803" s="5"/>
    </row>
    <row r="804" spans="6:7" x14ac:dyDescent="0.3">
      <c r="F804" s="5"/>
      <c r="G804" s="5"/>
    </row>
    <row r="805" spans="6:7" x14ac:dyDescent="0.3">
      <c r="F805" s="5"/>
      <c r="G805" s="5"/>
    </row>
    <row r="806" spans="6:7" x14ac:dyDescent="0.3">
      <c r="F806" s="5"/>
      <c r="G806" s="5"/>
    </row>
    <row r="807" spans="6:7" x14ac:dyDescent="0.3">
      <c r="F807" s="5"/>
      <c r="G807" s="5"/>
    </row>
    <row r="808" spans="6:7" x14ac:dyDescent="0.3">
      <c r="F808" s="5"/>
      <c r="G808" s="5"/>
    </row>
    <row r="809" spans="6:7" x14ac:dyDescent="0.3">
      <c r="F809" s="5"/>
      <c r="G809" s="5"/>
    </row>
    <row r="810" spans="6:7" x14ac:dyDescent="0.3">
      <c r="F810" s="5"/>
      <c r="G810" s="5"/>
    </row>
    <row r="811" spans="6:7" x14ac:dyDescent="0.3">
      <c r="F811" s="5"/>
      <c r="G811" s="5"/>
    </row>
    <row r="812" spans="6:7" x14ac:dyDescent="0.3">
      <c r="F812" s="5"/>
      <c r="G812" s="5"/>
    </row>
    <row r="813" spans="6:7" x14ac:dyDescent="0.3">
      <c r="F813" s="5"/>
      <c r="G813" s="5"/>
    </row>
    <row r="814" spans="6:7" x14ac:dyDescent="0.3">
      <c r="F814" s="5"/>
      <c r="G814" s="5"/>
    </row>
    <row r="815" spans="6:7" x14ac:dyDescent="0.3">
      <c r="F815" s="5"/>
      <c r="G815" s="5"/>
    </row>
    <row r="816" spans="6:7" x14ac:dyDescent="0.3">
      <c r="F816" s="5"/>
      <c r="G816" s="5"/>
    </row>
    <row r="817" spans="6:7" x14ac:dyDescent="0.3">
      <c r="F817" s="5"/>
      <c r="G817" s="5"/>
    </row>
    <row r="818" spans="6:7" x14ac:dyDescent="0.3">
      <c r="F818" s="5"/>
      <c r="G818" s="5"/>
    </row>
    <row r="819" spans="6:7" x14ac:dyDescent="0.3">
      <c r="F819" s="5"/>
      <c r="G819" s="5"/>
    </row>
    <row r="820" spans="6:7" x14ac:dyDescent="0.3">
      <c r="F820" s="5"/>
      <c r="G820" s="5"/>
    </row>
    <row r="821" spans="6:7" x14ac:dyDescent="0.3">
      <c r="F821" s="5"/>
      <c r="G821" s="5"/>
    </row>
    <row r="822" spans="6:7" x14ac:dyDescent="0.3">
      <c r="F822" s="5"/>
      <c r="G822" s="5"/>
    </row>
    <row r="823" spans="6:7" x14ac:dyDescent="0.3">
      <c r="F823" s="5"/>
      <c r="G823" s="5"/>
    </row>
    <row r="824" spans="6:7" x14ac:dyDescent="0.3">
      <c r="F824" s="5"/>
      <c r="G824" s="5"/>
    </row>
    <row r="825" spans="6:7" x14ac:dyDescent="0.3">
      <c r="F825" s="5"/>
      <c r="G825" s="5"/>
    </row>
    <row r="826" spans="6:7" x14ac:dyDescent="0.3">
      <c r="F826" s="5"/>
      <c r="G826" s="5"/>
    </row>
    <row r="827" spans="6:7" x14ac:dyDescent="0.3">
      <c r="F827" s="5"/>
      <c r="G827" s="5"/>
    </row>
    <row r="828" spans="6:7" x14ac:dyDescent="0.3">
      <c r="F828" s="5"/>
      <c r="G828" s="5"/>
    </row>
    <row r="829" spans="6:7" x14ac:dyDescent="0.3">
      <c r="F829" s="5"/>
      <c r="G829" s="5"/>
    </row>
    <row r="830" spans="6:7" x14ac:dyDescent="0.3">
      <c r="F830" s="5"/>
      <c r="G830" s="5"/>
    </row>
    <row r="831" spans="6:7" x14ac:dyDescent="0.3">
      <c r="F831" s="5"/>
      <c r="G831" s="5"/>
    </row>
    <row r="832" spans="6:7" x14ac:dyDescent="0.3">
      <c r="F832" s="5"/>
      <c r="G832" s="5"/>
    </row>
    <row r="833" spans="6:7" x14ac:dyDescent="0.3">
      <c r="F833" s="5"/>
      <c r="G833" s="5"/>
    </row>
    <row r="834" spans="6:7" x14ac:dyDescent="0.3">
      <c r="F834" s="5"/>
      <c r="G834" s="5"/>
    </row>
    <row r="835" spans="6:7" x14ac:dyDescent="0.3">
      <c r="F835" s="5"/>
      <c r="G835" s="5"/>
    </row>
    <row r="836" spans="6:7" x14ac:dyDescent="0.3">
      <c r="F836" s="5"/>
      <c r="G836" s="5"/>
    </row>
    <row r="837" spans="6:7" x14ac:dyDescent="0.3">
      <c r="F837" s="5"/>
      <c r="G837" s="5"/>
    </row>
    <row r="838" spans="6:7" x14ac:dyDescent="0.3">
      <c r="F838" s="5"/>
      <c r="G838" s="5"/>
    </row>
    <row r="839" spans="6:7" x14ac:dyDescent="0.3">
      <c r="F839" s="5"/>
      <c r="G839" s="5"/>
    </row>
    <row r="840" spans="6:7" x14ac:dyDescent="0.3">
      <c r="F840" s="5"/>
      <c r="G840" s="5"/>
    </row>
    <row r="841" spans="6:7" x14ac:dyDescent="0.3">
      <c r="F841" s="5"/>
      <c r="G841" s="5"/>
    </row>
    <row r="842" spans="6:7" x14ac:dyDescent="0.3">
      <c r="F842" s="5"/>
      <c r="G842" s="5"/>
    </row>
    <row r="843" spans="6:7" x14ac:dyDescent="0.3">
      <c r="F843" s="5"/>
      <c r="G843" s="5"/>
    </row>
    <row r="844" spans="6:7" x14ac:dyDescent="0.3">
      <c r="F844" s="5"/>
      <c r="G844" s="5"/>
    </row>
    <row r="845" spans="6:7" x14ac:dyDescent="0.3">
      <c r="F845" s="5"/>
      <c r="G845" s="5"/>
    </row>
    <row r="846" spans="6:7" x14ac:dyDescent="0.3">
      <c r="F846" s="5"/>
      <c r="G846" s="5"/>
    </row>
    <row r="847" spans="6:7" x14ac:dyDescent="0.3">
      <c r="F847" s="5"/>
      <c r="G847" s="5"/>
    </row>
    <row r="848" spans="6:7" x14ac:dyDescent="0.3">
      <c r="F848" s="5"/>
      <c r="G848" s="5"/>
    </row>
    <row r="849" spans="6:7" x14ac:dyDescent="0.3">
      <c r="F849" s="5"/>
      <c r="G849" s="5"/>
    </row>
    <row r="850" spans="6:7" x14ac:dyDescent="0.3">
      <c r="F850" s="5"/>
      <c r="G850" s="5"/>
    </row>
    <row r="851" spans="6:7" x14ac:dyDescent="0.3">
      <c r="F851" s="5"/>
      <c r="G851" s="5"/>
    </row>
    <row r="852" spans="6:7" x14ac:dyDescent="0.3">
      <c r="F852" s="5"/>
      <c r="G852" s="5"/>
    </row>
    <row r="853" spans="6:7" x14ac:dyDescent="0.3">
      <c r="F853" s="5"/>
      <c r="G853" s="5"/>
    </row>
    <row r="854" spans="6:7" x14ac:dyDescent="0.3">
      <c r="F854" s="5"/>
      <c r="G854" s="5"/>
    </row>
    <row r="855" spans="6:7" x14ac:dyDescent="0.3">
      <c r="F855" s="5"/>
      <c r="G855" s="5"/>
    </row>
    <row r="856" spans="6:7" x14ac:dyDescent="0.3">
      <c r="F856" s="5"/>
      <c r="G856" s="5"/>
    </row>
    <row r="857" spans="6:7" x14ac:dyDescent="0.3">
      <c r="F857" s="5"/>
      <c r="G857" s="5"/>
    </row>
    <row r="858" spans="6:7" x14ac:dyDescent="0.3">
      <c r="F858" s="5"/>
      <c r="G858" s="5"/>
    </row>
    <row r="859" spans="6:7" x14ac:dyDescent="0.3">
      <c r="F859" s="5"/>
      <c r="G859" s="5"/>
    </row>
    <row r="860" spans="6:7" x14ac:dyDescent="0.3">
      <c r="F860" s="5"/>
      <c r="G860" s="5"/>
    </row>
    <row r="861" spans="6:7" x14ac:dyDescent="0.3">
      <c r="F861" s="5"/>
      <c r="G861" s="5"/>
    </row>
    <row r="862" spans="6:7" x14ac:dyDescent="0.3">
      <c r="F862" s="5"/>
      <c r="G862" s="5"/>
    </row>
    <row r="863" spans="6:7" x14ac:dyDescent="0.3">
      <c r="F863" s="5"/>
      <c r="G863" s="5"/>
    </row>
    <row r="864" spans="6:7" x14ac:dyDescent="0.3">
      <c r="F864" s="5"/>
      <c r="G864" s="5"/>
    </row>
    <row r="865" spans="6:7" x14ac:dyDescent="0.3">
      <c r="F865" s="5"/>
      <c r="G865" s="5"/>
    </row>
    <row r="866" spans="6:7" x14ac:dyDescent="0.3">
      <c r="F866" s="5"/>
      <c r="G866" s="5"/>
    </row>
    <row r="867" spans="6:7" x14ac:dyDescent="0.3">
      <c r="F867" s="5"/>
      <c r="G867" s="5"/>
    </row>
    <row r="868" spans="6:7" x14ac:dyDescent="0.3">
      <c r="F868" s="5"/>
      <c r="G868" s="5"/>
    </row>
    <row r="869" spans="6:7" x14ac:dyDescent="0.3">
      <c r="F869" s="5"/>
      <c r="G869" s="5"/>
    </row>
    <row r="870" spans="6:7" x14ac:dyDescent="0.3">
      <c r="F870" s="5"/>
      <c r="G870" s="5"/>
    </row>
    <row r="871" spans="6:7" x14ac:dyDescent="0.3">
      <c r="F871" s="5"/>
      <c r="G871" s="5"/>
    </row>
    <row r="872" spans="6:7" x14ac:dyDescent="0.3">
      <c r="F872" s="5"/>
      <c r="G872" s="5"/>
    </row>
    <row r="873" spans="6:7" x14ac:dyDescent="0.3">
      <c r="F873" s="5"/>
      <c r="G873" s="5"/>
    </row>
    <row r="874" spans="6:7" x14ac:dyDescent="0.3">
      <c r="F874" s="5"/>
      <c r="G874" s="5"/>
    </row>
    <row r="875" spans="6:7" x14ac:dyDescent="0.3">
      <c r="F875" s="5"/>
      <c r="G875" s="5"/>
    </row>
    <row r="876" spans="6:7" x14ac:dyDescent="0.3">
      <c r="F876" s="5"/>
      <c r="G876" s="5"/>
    </row>
    <row r="877" spans="6:7" x14ac:dyDescent="0.3">
      <c r="F877" s="5"/>
      <c r="G877" s="5"/>
    </row>
    <row r="878" spans="6:7" x14ac:dyDescent="0.3">
      <c r="F878" s="5"/>
      <c r="G878" s="5"/>
    </row>
    <row r="879" spans="6:7" x14ac:dyDescent="0.3">
      <c r="F879" s="5"/>
      <c r="G879" s="5"/>
    </row>
    <row r="880" spans="6:7" x14ac:dyDescent="0.3">
      <c r="F880" s="5"/>
      <c r="G880" s="5"/>
    </row>
    <row r="881" spans="6:7" x14ac:dyDescent="0.3">
      <c r="F881" s="5"/>
      <c r="G881" s="5"/>
    </row>
    <row r="882" spans="6:7" x14ac:dyDescent="0.3">
      <c r="F882" s="5"/>
      <c r="G882" s="5"/>
    </row>
    <row r="883" spans="6:7" x14ac:dyDescent="0.3">
      <c r="F883" s="5"/>
      <c r="G883" s="5"/>
    </row>
    <row r="884" spans="6:7" x14ac:dyDescent="0.3">
      <c r="F884" s="5"/>
      <c r="G884" s="5"/>
    </row>
    <row r="885" spans="6:7" x14ac:dyDescent="0.3">
      <c r="F885" s="5"/>
      <c r="G885" s="5"/>
    </row>
    <row r="886" spans="6:7" x14ac:dyDescent="0.3">
      <c r="F886" s="5"/>
      <c r="G886" s="5"/>
    </row>
    <row r="887" spans="6:7" x14ac:dyDescent="0.3">
      <c r="F887" s="5"/>
      <c r="G887" s="5"/>
    </row>
    <row r="888" spans="6:7" x14ac:dyDescent="0.3">
      <c r="F888" s="5"/>
      <c r="G888" s="5"/>
    </row>
    <row r="889" spans="6:7" x14ac:dyDescent="0.3">
      <c r="F889" s="5"/>
      <c r="G889" s="5"/>
    </row>
    <row r="890" spans="6:7" x14ac:dyDescent="0.3">
      <c r="F890" s="5"/>
      <c r="G890" s="5"/>
    </row>
    <row r="891" spans="6:7" x14ac:dyDescent="0.3">
      <c r="F891" s="5"/>
      <c r="G891" s="5"/>
    </row>
    <row r="892" spans="6:7" x14ac:dyDescent="0.3">
      <c r="F892" s="5"/>
      <c r="G892" s="5"/>
    </row>
    <row r="893" spans="6:7" x14ac:dyDescent="0.3">
      <c r="F893" s="5"/>
      <c r="G893" s="5"/>
    </row>
    <row r="894" spans="6:7" x14ac:dyDescent="0.3">
      <c r="F894" s="5"/>
      <c r="G894" s="5"/>
    </row>
    <row r="895" spans="6:7" x14ac:dyDescent="0.3">
      <c r="F895" s="5"/>
      <c r="G895" s="5"/>
    </row>
    <row r="896" spans="6:7" x14ac:dyDescent="0.3">
      <c r="F896" s="5"/>
      <c r="G896" s="5"/>
    </row>
    <row r="897" spans="6:7" x14ac:dyDescent="0.3">
      <c r="F897" s="5"/>
      <c r="G897" s="5"/>
    </row>
    <row r="898" spans="6:7" x14ac:dyDescent="0.3">
      <c r="F898" s="5"/>
      <c r="G898" s="5"/>
    </row>
    <row r="899" spans="6:7" x14ac:dyDescent="0.3">
      <c r="F899" s="5"/>
      <c r="G899" s="5"/>
    </row>
    <row r="900" spans="6:7" x14ac:dyDescent="0.3">
      <c r="F900" s="5"/>
      <c r="G900" s="5"/>
    </row>
    <row r="901" spans="6:7" x14ac:dyDescent="0.3">
      <c r="F901" s="5"/>
      <c r="G901" s="5"/>
    </row>
    <row r="902" spans="6:7" x14ac:dyDescent="0.3">
      <c r="F902" s="5"/>
      <c r="G902" s="5"/>
    </row>
    <row r="903" spans="6:7" x14ac:dyDescent="0.3">
      <c r="F903" s="5"/>
      <c r="G903" s="5"/>
    </row>
    <row r="904" spans="6:7" x14ac:dyDescent="0.3">
      <c r="F904" s="5"/>
      <c r="G904" s="5"/>
    </row>
    <row r="905" spans="6:7" x14ac:dyDescent="0.3">
      <c r="F905" s="5"/>
      <c r="G905" s="5"/>
    </row>
    <row r="906" spans="6:7" x14ac:dyDescent="0.3">
      <c r="F906" s="5"/>
      <c r="G906" s="5"/>
    </row>
    <row r="907" spans="6:7" x14ac:dyDescent="0.3">
      <c r="F907" s="5"/>
      <c r="G907" s="5"/>
    </row>
    <row r="908" spans="6:7" x14ac:dyDescent="0.3">
      <c r="F908" s="5"/>
      <c r="G908" s="5"/>
    </row>
    <row r="909" spans="6:7" x14ac:dyDescent="0.3">
      <c r="F909" s="5"/>
      <c r="G909" s="5"/>
    </row>
    <row r="910" spans="6:7" x14ac:dyDescent="0.3">
      <c r="F910" s="5"/>
      <c r="G910" s="5"/>
    </row>
    <row r="911" spans="6:7" x14ac:dyDescent="0.3">
      <c r="F911" s="5"/>
      <c r="G911" s="5"/>
    </row>
    <row r="912" spans="6:7" x14ac:dyDescent="0.3">
      <c r="F912" s="5"/>
      <c r="G912" s="5"/>
    </row>
    <row r="913" spans="6:7" x14ac:dyDescent="0.3">
      <c r="F913" s="5"/>
      <c r="G913" s="5"/>
    </row>
    <row r="914" spans="6:7" x14ac:dyDescent="0.3">
      <c r="F914" s="5"/>
      <c r="G914" s="5"/>
    </row>
    <row r="915" spans="6:7" x14ac:dyDescent="0.3">
      <c r="F915" s="5"/>
      <c r="G915" s="5"/>
    </row>
    <row r="916" spans="6:7" x14ac:dyDescent="0.3">
      <c r="F916" s="5"/>
      <c r="G916" s="5"/>
    </row>
    <row r="917" spans="6:7" x14ac:dyDescent="0.3">
      <c r="F917" s="5"/>
      <c r="G917" s="5"/>
    </row>
    <row r="918" spans="6:7" x14ac:dyDescent="0.3">
      <c r="F918" s="5"/>
      <c r="G918" s="5"/>
    </row>
    <row r="919" spans="6:7" x14ac:dyDescent="0.3">
      <c r="F919" s="5"/>
      <c r="G919" s="5"/>
    </row>
    <row r="920" spans="6:7" x14ac:dyDescent="0.3">
      <c r="F920" s="5"/>
      <c r="G920" s="5"/>
    </row>
    <row r="921" spans="6:7" x14ac:dyDescent="0.3">
      <c r="F921" s="5"/>
      <c r="G921" s="5"/>
    </row>
    <row r="922" spans="6:7" x14ac:dyDescent="0.3">
      <c r="F922" s="5"/>
      <c r="G922" s="5"/>
    </row>
    <row r="923" spans="6:7" x14ac:dyDescent="0.3">
      <c r="F923" s="5"/>
      <c r="G923" s="5"/>
    </row>
    <row r="924" spans="6:7" x14ac:dyDescent="0.3">
      <c r="F924" s="5"/>
      <c r="G924" s="5"/>
    </row>
    <row r="925" spans="6:7" x14ac:dyDescent="0.3">
      <c r="F925" s="5"/>
      <c r="G925" s="5"/>
    </row>
    <row r="926" spans="6:7" x14ac:dyDescent="0.3">
      <c r="F926" s="5"/>
      <c r="G926" s="5"/>
    </row>
    <row r="927" spans="6:7" x14ac:dyDescent="0.3">
      <c r="F927" s="5"/>
      <c r="G927" s="5"/>
    </row>
    <row r="928" spans="6:7" x14ac:dyDescent="0.3">
      <c r="F928" s="5"/>
      <c r="G928" s="5"/>
    </row>
    <row r="929" spans="6:7" x14ac:dyDescent="0.3">
      <c r="F929" s="5"/>
      <c r="G929" s="5"/>
    </row>
    <row r="930" spans="6:7" x14ac:dyDescent="0.3">
      <c r="F930" s="5"/>
      <c r="G930" s="5"/>
    </row>
    <row r="931" spans="6:7" x14ac:dyDescent="0.3">
      <c r="F931" s="5"/>
      <c r="G931" s="5"/>
    </row>
    <row r="932" spans="6:7" x14ac:dyDescent="0.3">
      <c r="F932" s="5"/>
      <c r="G932" s="5"/>
    </row>
    <row r="933" spans="6:7" x14ac:dyDescent="0.3">
      <c r="F933" s="5"/>
      <c r="G933" s="5"/>
    </row>
    <row r="934" spans="6:7" x14ac:dyDescent="0.3">
      <c r="F934" s="5"/>
      <c r="G934" s="5"/>
    </row>
    <row r="935" spans="6:7" x14ac:dyDescent="0.3">
      <c r="F935" s="5"/>
      <c r="G935" s="5"/>
    </row>
    <row r="936" spans="6:7" x14ac:dyDescent="0.3">
      <c r="F936" s="5"/>
      <c r="G936" s="5"/>
    </row>
    <row r="937" spans="6:7" x14ac:dyDescent="0.3">
      <c r="F937" s="5"/>
      <c r="G937" s="5"/>
    </row>
    <row r="938" spans="6:7" x14ac:dyDescent="0.3">
      <c r="F938" s="5"/>
      <c r="G938" s="5"/>
    </row>
    <row r="939" spans="6:7" x14ac:dyDescent="0.3">
      <c r="F939" s="5"/>
      <c r="G939" s="5"/>
    </row>
    <row r="940" spans="6:7" x14ac:dyDescent="0.3">
      <c r="F940" s="5"/>
      <c r="G940" s="5"/>
    </row>
    <row r="941" spans="6:7" x14ac:dyDescent="0.3">
      <c r="F941" s="5"/>
      <c r="G941" s="5"/>
    </row>
    <row r="942" spans="6:7" x14ac:dyDescent="0.3">
      <c r="F942" s="5"/>
      <c r="G942" s="5"/>
    </row>
    <row r="943" spans="6:7" x14ac:dyDescent="0.3">
      <c r="F943" s="5"/>
      <c r="G943" s="5"/>
    </row>
    <row r="944" spans="6:7" x14ac:dyDescent="0.3">
      <c r="F944" s="5"/>
      <c r="G944" s="5"/>
    </row>
    <row r="945" spans="6:7" x14ac:dyDescent="0.3">
      <c r="F945" s="5"/>
      <c r="G945" s="5"/>
    </row>
    <row r="946" spans="6:7" x14ac:dyDescent="0.3">
      <c r="F946" s="5"/>
      <c r="G946" s="5"/>
    </row>
    <row r="947" spans="6:7" x14ac:dyDescent="0.3">
      <c r="F947" s="5"/>
      <c r="G947" s="5"/>
    </row>
    <row r="948" spans="6:7" x14ac:dyDescent="0.3">
      <c r="F948" s="5"/>
      <c r="G948" s="5"/>
    </row>
    <row r="949" spans="6:7" x14ac:dyDescent="0.3">
      <c r="F949" s="5"/>
      <c r="G949" s="5"/>
    </row>
    <row r="950" spans="6:7" x14ac:dyDescent="0.3">
      <c r="F950" s="5"/>
      <c r="G950" s="5"/>
    </row>
    <row r="951" spans="6:7" x14ac:dyDescent="0.3">
      <c r="F951" s="5"/>
      <c r="G951" s="5"/>
    </row>
    <row r="952" spans="6:7" x14ac:dyDescent="0.3">
      <c r="F952" s="5"/>
      <c r="G952" s="5"/>
    </row>
    <row r="953" spans="6:7" x14ac:dyDescent="0.3">
      <c r="F953" s="5"/>
      <c r="G953" s="5"/>
    </row>
    <row r="954" spans="6:7" x14ac:dyDescent="0.3">
      <c r="F954" s="5"/>
      <c r="G954" s="5"/>
    </row>
    <row r="955" spans="6:7" x14ac:dyDescent="0.3">
      <c r="F955" s="5"/>
      <c r="G955" s="5"/>
    </row>
    <row r="956" spans="6:7" x14ac:dyDescent="0.3">
      <c r="F956" s="5"/>
      <c r="G956" s="5"/>
    </row>
    <row r="957" spans="6:7" x14ac:dyDescent="0.3">
      <c r="F957" s="5"/>
      <c r="G957" s="5"/>
    </row>
    <row r="958" spans="6:7" x14ac:dyDescent="0.3">
      <c r="F958" s="5"/>
      <c r="G958" s="5"/>
    </row>
    <row r="959" spans="6:7" x14ac:dyDescent="0.3">
      <c r="F959" s="5"/>
      <c r="G959" s="5"/>
    </row>
    <row r="960" spans="6:7" x14ac:dyDescent="0.3">
      <c r="F960" s="5"/>
      <c r="G960" s="5"/>
    </row>
    <row r="961" spans="6:7" x14ac:dyDescent="0.3">
      <c r="F961" s="5"/>
      <c r="G961" s="5"/>
    </row>
    <row r="962" spans="6:7" x14ac:dyDescent="0.3">
      <c r="F962" s="5"/>
      <c r="G962" s="5"/>
    </row>
    <row r="963" spans="6:7" x14ac:dyDescent="0.3">
      <c r="F963" s="5"/>
      <c r="G963" s="5"/>
    </row>
    <row r="964" spans="6:7" x14ac:dyDescent="0.3">
      <c r="F964" s="5"/>
      <c r="G964" s="5"/>
    </row>
    <row r="965" spans="6:7" x14ac:dyDescent="0.3">
      <c r="F965" s="5"/>
      <c r="G965" s="5"/>
    </row>
    <row r="966" spans="6:7" x14ac:dyDescent="0.3">
      <c r="F966" s="5"/>
      <c r="G966" s="5"/>
    </row>
    <row r="967" spans="6:7" x14ac:dyDescent="0.3">
      <c r="F967" s="5"/>
      <c r="G967" s="5"/>
    </row>
    <row r="968" spans="6:7" x14ac:dyDescent="0.3">
      <c r="F968" s="5"/>
      <c r="G968" s="5"/>
    </row>
    <row r="969" spans="6:7" x14ac:dyDescent="0.3">
      <c r="F969" s="5"/>
      <c r="G969" s="5"/>
    </row>
    <row r="970" spans="6:7" x14ac:dyDescent="0.3">
      <c r="F970" s="5"/>
      <c r="G970" s="5"/>
    </row>
    <row r="971" spans="6:7" x14ac:dyDescent="0.3">
      <c r="F971" s="5"/>
      <c r="G971" s="5"/>
    </row>
    <row r="972" spans="6:7" x14ac:dyDescent="0.3">
      <c r="F972" s="5"/>
      <c r="G972" s="5"/>
    </row>
    <row r="973" spans="6:7" x14ac:dyDescent="0.3">
      <c r="F973" s="5"/>
      <c r="G973" s="5"/>
    </row>
    <row r="974" spans="6:7" x14ac:dyDescent="0.3">
      <c r="F974" s="5"/>
      <c r="G974" s="5"/>
    </row>
    <row r="975" spans="6:7" x14ac:dyDescent="0.3">
      <c r="F975" s="5"/>
      <c r="G975" s="5"/>
    </row>
    <row r="976" spans="6:7" x14ac:dyDescent="0.3">
      <c r="F976" s="5"/>
      <c r="G976" s="5"/>
    </row>
    <row r="977" spans="6:7" x14ac:dyDescent="0.3">
      <c r="F977" s="5"/>
      <c r="G977" s="5"/>
    </row>
    <row r="978" spans="6:7" x14ac:dyDescent="0.3">
      <c r="F978" s="5"/>
      <c r="G978" s="5"/>
    </row>
    <row r="979" spans="6:7" x14ac:dyDescent="0.3">
      <c r="F979" s="5"/>
      <c r="G979" s="5"/>
    </row>
    <row r="980" spans="6:7" x14ac:dyDescent="0.3">
      <c r="F980" s="5"/>
      <c r="G980" s="5"/>
    </row>
    <row r="981" spans="6:7" x14ac:dyDescent="0.3">
      <c r="F981" s="5"/>
      <c r="G981" s="5"/>
    </row>
    <row r="982" spans="6:7" x14ac:dyDescent="0.3">
      <c r="F982" s="5"/>
      <c r="G982" s="5"/>
    </row>
    <row r="983" spans="6:7" x14ac:dyDescent="0.3">
      <c r="F983" s="5"/>
      <c r="G983" s="5"/>
    </row>
    <row r="984" spans="6:7" x14ac:dyDescent="0.3">
      <c r="F984" s="5"/>
      <c r="G984" s="5"/>
    </row>
    <row r="985" spans="6:7" x14ac:dyDescent="0.3">
      <c r="F985" s="5"/>
      <c r="G985" s="5"/>
    </row>
    <row r="986" spans="6:7" x14ac:dyDescent="0.3">
      <c r="F986" s="5"/>
      <c r="G986" s="5"/>
    </row>
    <row r="987" spans="6:7" x14ac:dyDescent="0.3">
      <c r="F987" s="5"/>
      <c r="G987" s="5"/>
    </row>
    <row r="988" spans="6:7" x14ac:dyDescent="0.3">
      <c r="F988" s="5"/>
      <c r="G988" s="5"/>
    </row>
    <row r="989" spans="6:7" x14ac:dyDescent="0.3">
      <c r="F989" s="5"/>
      <c r="G989" s="5"/>
    </row>
    <row r="990" spans="6:7" x14ac:dyDescent="0.3">
      <c r="F990" s="5"/>
      <c r="G990" s="5"/>
    </row>
    <row r="991" spans="6:7" x14ac:dyDescent="0.3">
      <c r="F991" s="5"/>
      <c r="G991" s="5"/>
    </row>
    <row r="992" spans="6:7" x14ac:dyDescent="0.3">
      <c r="F992" s="5"/>
      <c r="G992" s="5"/>
    </row>
    <row r="993" spans="6:7" x14ac:dyDescent="0.3">
      <c r="F993" s="5"/>
      <c r="G993" s="5"/>
    </row>
    <row r="994" spans="6:7" x14ac:dyDescent="0.3">
      <c r="F994" s="5"/>
      <c r="G994" s="5"/>
    </row>
    <row r="995" spans="6:7" x14ac:dyDescent="0.3">
      <c r="F995" s="5"/>
      <c r="G995" s="5"/>
    </row>
    <row r="996" spans="6:7" x14ac:dyDescent="0.3">
      <c r="F996" s="5"/>
      <c r="G996" s="5"/>
    </row>
    <row r="997" spans="6:7" x14ac:dyDescent="0.3">
      <c r="F997" s="5"/>
      <c r="G997" s="5"/>
    </row>
    <row r="998" spans="6:7" x14ac:dyDescent="0.3">
      <c r="F998" s="5"/>
      <c r="G998" s="5"/>
    </row>
    <row r="999" spans="6:7" x14ac:dyDescent="0.3">
      <c r="F999" s="5"/>
      <c r="G999" s="5"/>
    </row>
    <row r="1000" spans="6:7" x14ac:dyDescent="0.3">
      <c r="F1000" s="5"/>
      <c r="G1000" s="5"/>
    </row>
    <row r="1001" spans="6:7" x14ac:dyDescent="0.3">
      <c r="F1001" s="5"/>
      <c r="G1001" s="5"/>
    </row>
    <row r="1002" spans="6:7" x14ac:dyDescent="0.3">
      <c r="F1002" s="5"/>
      <c r="G1002" s="5"/>
    </row>
    <row r="1003" spans="6:7" x14ac:dyDescent="0.3">
      <c r="F1003" s="5"/>
      <c r="G1003" s="5"/>
    </row>
    <row r="1004" spans="6:7" x14ac:dyDescent="0.3">
      <c r="F1004" s="5"/>
      <c r="G1004" s="5"/>
    </row>
    <row r="1005" spans="6:7" x14ac:dyDescent="0.3">
      <c r="F1005" s="5"/>
      <c r="G1005" s="5"/>
    </row>
    <row r="1006" spans="6:7" x14ac:dyDescent="0.3">
      <c r="F1006" s="5"/>
      <c r="G1006" s="5"/>
    </row>
    <row r="1007" spans="6:7" x14ac:dyDescent="0.3">
      <c r="F1007" s="5"/>
      <c r="G1007" s="5"/>
    </row>
    <row r="1008" spans="6:7" x14ac:dyDescent="0.3">
      <c r="F1008" s="5"/>
      <c r="G1008" s="5"/>
    </row>
    <row r="1009" spans="6:7" x14ac:dyDescent="0.3">
      <c r="F1009" s="5"/>
      <c r="G1009" s="5"/>
    </row>
    <row r="1010" spans="6:7" x14ac:dyDescent="0.3">
      <c r="F1010" s="5"/>
      <c r="G1010" s="5"/>
    </row>
    <row r="1011" spans="6:7" x14ac:dyDescent="0.3">
      <c r="F1011" s="5"/>
      <c r="G1011" s="5"/>
    </row>
    <row r="1012" spans="6:7" x14ac:dyDescent="0.3">
      <c r="F1012" s="5"/>
      <c r="G1012" s="5"/>
    </row>
    <row r="1013" spans="6:7" x14ac:dyDescent="0.3">
      <c r="F1013" s="5"/>
      <c r="G1013" s="5"/>
    </row>
    <row r="1014" spans="6:7" x14ac:dyDescent="0.3">
      <c r="F1014" s="5"/>
      <c r="G1014" s="5"/>
    </row>
    <row r="1015" spans="6:7" x14ac:dyDescent="0.3">
      <c r="F1015" s="5"/>
      <c r="G1015" s="5"/>
    </row>
    <row r="1016" spans="6:7" x14ac:dyDescent="0.3">
      <c r="F1016" s="5"/>
      <c r="G1016" s="5"/>
    </row>
    <row r="1017" spans="6:7" x14ac:dyDescent="0.3">
      <c r="F1017" s="5"/>
      <c r="G1017" s="5"/>
    </row>
    <row r="1018" spans="6:7" x14ac:dyDescent="0.3">
      <c r="F1018" s="5"/>
      <c r="G1018" s="5"/>
    </row>
    <row r="1019" spans="6:7" x14ac:dyDescent="0.3">
      <c r="F1019" s="5"/>
      <c r="G1019" s="5"/>
    </row>
    <row r="1020" spans="6:7" x14ac:dyDescent="0.3">
      <c r="F1020" s="5"/>
      <c r="G1020" s="5"/>
    </row>
    <row r="1021" spans="6:7" x14ac:dyDescent="0.3">
      <c r="F1021" s="5"/>
      <c r="G1021" s="5"/>
    </row>
    <row r="1022" spans="6:7" x14ac:dyDescent="0.3">
      <c r="F1022" s="5"/>
      <c r="G1022" s="5"/>
    </row>
    <row r="1023" spans="6:7" x14ac:dyDescent="0.3">
      <c r="F1023" s="5"/>
      <c r="G1023" s="5"/>
    </row>
    <row r="1024" spans="6:7" x14ac:dyDescent="0.3">
      <c r="F1024" s="5"/>
      <c r="G1024" s="5"/>
    </row>
    <row r="1025" spans="6:7" x14ac:dyDescent="0.3">
      <c r="F1025" s="5"/>
      <c r="G1025" s="5"/>
    </row>
    <row r="1026" spans="6:7" x14ac:dyDescent="0.3">
      <c r="F1026" s="5"/>
      <c r="G1026" s="5"/>
    </row>
    <row r="1027" spans="6:7" x14ac:dyDescent="0.3">
      <c r="F1027" s="5"/>
      <c r="G1027" s="5"/>
    </row>
    <row r="1028" spans="6:7" x14ac:dyDescent="0.3">
      <c r="F1028" s="5"/>
      <c r="G1028" s="5"/>
    </row>
    <row r="1029" spans="6:7" x14ac:dyDescent="0.3">
      <c r="F1029" s="5"/>
      <c r="G1029" s="5"/>
    </row>
    <row r="1030" spans="6:7" x14ac:dyDescent="0.3">
      <c r="F1030" s="5"/>
      <c r="G1030" s="5"/>
    </row>
    <row r="1031" spans="6:7" x14ac:dyDescent="0.3">
      <c r="F1031" s="5"/>
      <c r="G1031" s="5"/>
    </row>
    <row r="1032" spans="6:7" x14ac:dyDescent="0.3">
      <c r="F1032" s="5"/>
      <c r="G1032" s="5"/>
    </row>
    <row r="1033" spans="6:7" x14ac:dyDescent="0.3">
      <c r="F1033" s="5"/>
      <c r="G1033" s="5"/>
    </row>
    <row r="1034" spans="6:7" x14ac:dyDescent="0.3">
      <c r="F1034" s="5"/>
      <c r="G1034" s="5"/>
    </row>
    <row r="1035" spans="6:7" x14ac:dyDescent="0.3">
      <c r="F1035" s="5"/>
      <c r="G1035" s="5"/>
    </row>
    <row r="1036" spans="6:7" x14ac:dyDescent="0.3">
      <c r="F1036" s="5"/>
      <c r="G1036" s="5"/>
    </row>
    <row r="1037" spans="6:7" x14ac:dyDescent="0.3">
      <c r="F1037" s="5"/>
      <c r="G1037" s="5"/>
    </row>
    <row r="1038" spans="6:7" x14ac:dyDescent="0.3">
      <c r="F1038" s="5"/>
      <c r="G1038" s="5"/>
    </row>
    <row r="1039" spans="6:7" x14ac:dyDescent="0.3">
      <c r="F1039" s="5"/>
      <c r="G1039" s="5"/>
    </row>
    <row r="1040" spans="6:7" x14ac:dyDescent="0.3">
      <c r="F1040" s="5"/>
      <c r="G1040" s="5"/>
    </row>
    <row r="1041" spans="6:7" x14ac:dyDescent="0.3">
      <c r="F1041" s="5"/>
      <c r="G1041" s="5"/>
    </row>
    <row r="1042" spans="6:7" x14ac:dyDescent="0.3">
      <c r="F1042" s="5"/>
      <c r="G1042" s="5"/>
    </row>
    <row r="1043" spans="6:7" x14ac:dyDescent="0.3">
      <c r="F1043" s="5"/>
      <c r="G1043" s="5"/>
    </row>
    <row r="1044" spans="6:7" x14ac:dyDescent="0.3">
      <c r="F1044" s="5"/>
      <c r="G1044" s="5"/>
    </row>
    <row r="1045" spans="6:7" x14ac:dyDescent="0.3">
      <c r="F1045" s="5"/>
      <c r="G1045" s="5"/>
    </row>
    <row r="1046" spans="6:7" x14ac:dyDescent="0.3">
      <c r="F1046" s="5"/>
      <c r="G1046" s="5"/>
    </row>
    <row r="1047" spans="6:7" x14ac:dyDescent="0.3">
      <c r="F1047" s="5"/>
      <c r="G1047" s="5"/>
    </row>
    <row r="1048" spans="6:7" x14ac:dyDescent="0.3">
      <c r="F1048" s="5"/>
      <c r="G1048" s="5"/>
    </row>
    <row r="1049" spans="6:7" x14ac:dyDescent="0.3">
      <c r="F1049" s="5"/>
      <c r="G1049" s="5"/>
    </row>
    <row r="1050" spans="6:7" x14ac:dyDescent="0.3">
      <c r="F1050" s="5"/>
      <c r="G1050" s="5"/>
    </row>
    <row r="1051" spans="6:7" x14ac:dyDescent="0.3">
      <c r="F1051" s="5"/>
      <c r="G1051" s="5"/>
    </row>
    <row r="1052" spans="6:7" x14ac:dyDescent="0.3">
      <c r="F1052" s="5"/>
      <c r="G1052" s="5"/>
    </row>
    <row r="1053" spans="6:7" x14ac:dyDescent="0.3">
      <c r="F1053" s="5"/>
      <c r="G1053" s="5"/>
    </row>
    <row r="1054" spans="6:7" x14ac:dyDescent="0.3">
      <c r="F1054" s="5"/>
      <c r="G1054" s="5"/>
    </row>
    <row r="1055" spans="6:7" x14ac:dyDescent="0.3">
      <c r="F1055" s="5"/>
      <c r="G1055" s="5"/>
    </row>
    <row r="1056" spans="6:7" x14ac:dyDescent="0.3">
      <c r="F1056" s="5"/>
      <c r="G1056" s="5"/>
    </row>
    <row r="1057" spans="6:7" x14ac:dyDescent="0.3">
      <c r="F1057" s="5"/>
      <c r="G1057" s="5"/>
    </row>
    <row r="1058" spans="6:7" x14ac:dyDescent="0.3">
      <c r="F1058" s="5"/>
      <c r="G1058" s="5"/>
    </row>
    <row r="1059" spans="6:7" x14ac:dyDescent="0.3">
      <c r="F1059" s="5"/>
      <c r="G1059" s="5"/>
    </row>
    <row r="1060" spans="6:7" x14ac:dyDescent="0.3">
      <c r="F1060" s="5"/>
      <c r="G1060" s="5"/>
    </row>
    <row r="1061" spans="6:7" x14ac:dyDescent="0.3">
      <c r="F1061" s="5"/>
      <c r="G1061" s="5"/>
    </row>
    <row r="1062" spans="6:7" x14ac:dyDescent="0.3">
      <c r="F1062" s="5"/>
      <c r="G1062" s="5"/>
    </row>
    <row r="1063" spans="6:7" x14ac:dyDescent="0.3">
      <c r="F1063" s="5"/>
      <c r="G1063" s="5"/>
    </row>
    <row r="1064" spans="6:7" x14ac:dyDescent="0.3">
      <c r="F1064" s="5"/>
      <c r="G1064" s="5"/>
    </row>
    <row r="1065" spans="6:7" x14ac:dyDescent="0.3">
      <c r="F1065" s="5"/>
      <c r="G1065" s="5"/>
    </row>
    <row r="1066" spans="6:7" x14ac:dyDescent="0.3">
      <c r="F1066" s="5"/>
      <c r="G1066" s="5"/>
    </row>
    <row r="1067" spans="6:7" x14ac:dyDescent="0.3">
      <c r="F1067" s="5"/>
      <c r="G1067" s="5"/>
    </row>
    <row r="1068" spans="6:7" x14ac:dyDescent="0.3">
      <c r="F1068" s="5"/>
      <c r="G1068" s="5"/>
    </row>
    <row r="1069" spans="6:7" x14ac:dyDescent="0.3">
      <c r="F1069" s="5"/>
      <c r="G1069" s="5"/>
    </row>
    <row r="1070" spans="6:7" x14ac:dyDescent="0.3">
      <c r="F1070" s="5"/>
      <c r="G1070" s="5"/>
    </row>
    <row r="1071" spans="6:7" x14ac:dyDescent="0.3">
      <c r="F1071" s="5"/>
      <c r="G1071" s="5"/>
    </row>
    <row r="1072" spans="6:7" x14ac:dyDescent="0.3">
      <c r="F1072" s="5"/>
      <c r="G1072" s="5"/>
    </row>
    <row r="1073" spans="6:7" x14ac:dyDescent="0.3">
      <c r="F1073" s="5"/>
      <c r="G1073" s="5"/>
    </row>
    <row r="1074" spans="6:7" x14ac:dyDescent="0.3">
      <c r="F1074" s="5"/>
      <c r="G1074" s="5"/>
    </row>
    <row r="1075" spans="6:7" x14ac:dyDescent="0.3">
      <c r="F1075" s="5"/>
      <c r="G1075" s="5"/>
    </row>
    <row r="1076" spans="6:7" x14ac:dyDescent="0.3">
      <c r="F1076" s="5"/>
      <c r="G1076" s="5"/>
    </row>
    <row r="1077" spans="6:7" x14ac:dyDescent="0.3">
      <c r="F1077" s="5"/>
      <c r="G1077" s="5"/>
    </row>
    <row r="1078" spans="6:7" x14ac:dyDescent="0.3">
      <c r="F1078" s="5"/>
      <c r="G1078" s="5"/>
    </row>
    <row r="1079" spans="6:7" x14ac:dyDescent="0.3">
      <c r="F1079" s="5"/>
      <c r="G1079" s="5"/>
    </row>
    <row r="1080" spans="6:7" x14ac:dyDescent="0.3">
      <c r="F1080" s="5"/>
      <c r="G1080" s="5"/>
    </row>
    <row r="1081" spans="6:7" x14ac:dyDescent="0.3">
      <c r="F1081" s="5"/>
      <c r="G1081" s="5"/>
    </row>
    <row r="1082" spans="6:7" x14ac:dyDescent="0.3">
      <c r="F1082" s="5"/>
      <c r="G1082" s="5"/>
    </row>
    <row r="1083" spans="6:7" x14ac:dyDescent="0.3">
      <c r="F1083" s="5"/>
      <c r="G1083" s="5"/>
    </row>
    <row r="1084" spans="6:7" x14ac:dyDescent="0.3">
      <c r="F1084" s="5"/>
      <c r="G1084" s="5"/>
    </row>
    <row r="1085" spans="6:7" x14ac:dyDescent="0.3">
      <c r="F1085" s="5"/>
      <c r="G1085" s="5"/>
    </row>
    <row r="1086" spans="6:7" x14ac:dyDescent="0.3">
      <c r="F1086" s="5"/>
      <c r="G1086" s="5"/>
    </row>
    <row r="1087" spans="6:7" x14ac:dyDescent="0.3">
      <c r="F1087" s="5"/>
      <c r="G1087" s="5"/>
    </row>
    <row r="1088" spans="6:7" x14ac:dyDescent="0.3">
      <c r="F1088" s="5"/>
      <c r="G1088" s="5"/>
    </row>
    <row r="1089" spans="6:7" x14ac:dyDescent="0.3">
      <c r="F1089" s="5"/>
      <c r="G1089" s="5"/>
    </row>
    <row r="1090" spans="6:7" x14ac:dyDescent="0.3">
      <c r="F1090" s="5"/>
      <c r="G1090" s="5"/>
    </row>
    <row r="1091" spans="6:7" x14ac:dyDescent="0.3">
      <c r="F1091" s="5"/>
      <c r="G1091" s="5"/>
    </row>
    <row r="1092" spans="6:7" x14ac:dyDescent="0.3">
      <c r="F1092" s="5"/>
      <c r="G1092" s="5"/>
    </row>
    <row r="1093" spans="6:7" x14ac:dyDescent="0.3">
      <c r="F1093" s="5"/>
      <c r="G1093" s="5"/>
    </row>
    <row r="1094" spans="6:7" x14ac:dyDescent="0.3">
      <c r="F1094" s="5"/>
      <c r="G1094" s="5"/>
    </row>
    <row r="1095" spans="6:7" x14ac:dyDescent="0.3">
      <c r="F1095" s="5"/>
      <c r="G1095" s="5"/>
    </row>
    <row r="1096" spans="6:7" x14ac:dyDescent="0.3">
      <c r="F1096" s="5"/>
      <c r="G1096" s="5"/>
    </row>
    <row r="1097" spans="6:7" x14ac:dyDescent="0.3">
      <c r="F1097" s="5"/>
      <c r="G1097" s="5"/>
    </row>
    <row r="1098" spans="6:7" x14ac:dyDescent="0.3">
      <c r="F1098" s="5"/>
      <c r="G1098" s="5"/>
    </row>
    <row r="1099" spans="6:7" x14ac:dyDescent="0.3">
      <c r="F1099" s="5"/>
      <c r="G1099" s="5"/>
    </row>
    <row r="1100" spans="6:7" x14ac:dyDescent="0.3">
      <c r="F1100" s="5"/>
      <c r="G1100" s="5"/>
    </row>
    <row r="1101" spans="6:7" x14ac:dyDescent="0.3">
      <c r="F1101" s="5"/>
      <c r="G1101" s="5"/>
    </row>
    <row r="1102" spans="6:7" x14ac:dyDescent="0.3">
      <c r="F1102" s="5"/>
      <c r="G1102" s="5"/>
    </row>
    <row r="1103" spans="6:7" x14ac:dyDescent="0.3">
      <c r="F1103" s="5"/>
      <c r="G1103" s="5"/>
    </row>
    <row r="1104" spans="6:7" x14ac:dyDescent="0.3">
      <c r="F1104" s="5"/>
      <c r="G1104" s="5"/>
    </row>
    <row r="1105" spans="6:7" x14ac:dyDescent="0.3">
      <c r="F1105" s="5"/>
      <c r="G1105" s="5"/>
    </row>
    <row r="1106" spans="6:7" x14ac:dyDescent="0.3">
      <c r="F1106" s="5"/>
      <c r="G1106" s="5"/>
    </row>
    <row r="1107" spans="6:7" x14ac:dyDescent="0.3">
      <c r="F1107" s="5"/>
      <c r="G1107" s="5"/>
    </row>
    <row r="1108" spans="6:7" x14ac:dyDescent="0.3">
      <c r="F1108" s="5"/>
      <c r="G1108" s="5"/>
    </row>
    <row r="1109" spans="6:7" x14ac:dyDescent="0.3">
      <c r="F1109" s="5"/>
      <c r="G1109" s="5"/>
    </row>
    <row r="1110" spans="6:7" x14ac:dyDescent="0.3">
      <c r="F1110" s="5"/>
      <c r="G1110" s="5"/>
    </row>
    <row r="1111" spans="6:7" x14ac:dyDescent="0.3">
      <c r="F1111" s="5"/>
      <c r="G1111" s="5"/>
    </row>
    <row r="1112" spans="6:7" x14ac:dyDescent="0.3">
      <c r="F1112" s="5"/>
      <c r="G1112" s="5"/>
    </row>
    <row r="1113" spans="6:7" x14ac:dyDescent="0.3">
      <c r="F1113" s="5"/>
      <c r="G1113" s="5"/>
    </row>
    <row r="1114" spans="6:7" x14ac:dyDescent="0.3">
      <c r="F1114" s="5"/>
      <c r="G1114" s="5"/>
    </row>
    <row r="1115" spans="6:7" x14ac:dyDescent="0.3">
      <c r="F1115" s="5"/>
      <c r="G1115" s="5"/>
    </row>
    <row r="1116" spans="6:7" x14ac:dyDescent="0.3">
      <c r="F1116" s="5"/>
      <c r="G1116" s="5"/>
    </row>
    <row r="1117" spans="6:7" x14ac:dyDescent="0.3">
      <c r="F1117" s="5"/>
      <c r="G1117" s="5"/>
    </row>
    <row r="1118" spans="6:7" x14ac:dyDescent="0.3">
      <c r="F1118" s="5"/>
      <c r="G1118" s="5"/>
    </row>
    <row r="1119" spans="6:7" x14ac:dyDescent="0.3">
      <c r="F1119" s="5"/>
      <c r="G1119" s="5"/>
    </row>
    <row r="1120" spans="6:7" x14ac:dyDescent="0.3">
      <c r="F1120" s="5"/>
      <c r="G1120" s="5"/>
    </row>
    <row r="1121" spans="6:7" x14ac:dyDescent="0.3">
      <c r="F1121" s="5"/>
      <c r="G1121" s="5"/>
    </row>
    <row r="1122" spans="6:7" x14ac:dyDescent="0.3">
      <c r="F1122" s="5"/>
      <c r="G1122" s="5"/>
    </row>
    <row r="1123" spans="6:7" x14ac:dyDescent="0.3">
      <c r="F1123" s="5"/>
      <c r="G1123" s="5"/>
    </row>
    <row r="1124" spans="6:7" x14ac:dyDescent="0.3">
      <c r="F1124" s="5"/>
      <c r="G1124" s="5"/>
    </row>
    <row r="1125" spans="6:7" x14ac:dyDescent="0.3">
      <c r="F1125" s="5"/>
      <c r="G1125" s="5"/>
    </row>
    <row r="1126" spans="6:7" x14ac:dyDescent="0.3">
      <c r="F1126" s="5"/>
      <c r="G1126" s="5"/>
    </row>
    <row r="1127" spans="6:7" x14ac:dyDescent="0.3">
      <c r="F1127" s="5"/>
      <c r="G1127" s="5"/>
    </row>
    <row r="1128" spans="6:7" x14ac:dyDescent="0.3">
      <c r="F1128" s="5"/>
      <c r="G1128" s="5"/>
    </row>
    <row r="1129" spans="6:7" x14ac:dyDescent="0.3">
      <c r="F1129" s="5"/>
      <c r="G1129" s="5"/>
    </row>
    <row r="1130" spans="6:7" x14ac:dyDescent="0.3">
      <c r="F1130" s="5"/>
      <c r="G1130" s="5"/>
    </row>
    <row r="1131" spans="6:7" x14ac:dyDescent="0.3">
      <c r="F1131" s="5"/>
      <c r="G1131" s="5"/>
    </row>
    <row r="1132" spans="6:7" x14ac:dyDescent="0.3">
      <c r="F1132" s="5"/>
      <c r="G1132" s="5"/>
    </row>
    <row r="1133" spans="6:7" x14ac:dyDescent="0.3">
      <c r="F1133" s="5"/>
      <c r="G1133" s="5"/>
    </row>
    <row r="1134" spans="6:7" x14ac:dyDescent="0.3">
      <c r="F1134" s="5"/>
      <c r="G1134" s="5"/>
    </row>
    <row r="1135" spans="6:7" x14ac:dyDescent="0.3">
      <c r="F1135" s="5"/>
      <c r="G1135" s="5"/>
    </row>
    <row r="1136" spans="6:7" x14ac:dyDescent="0.3">
      <c r="F1136" s="5"/>
      <c r="G1136" s="5"/>
    </row>
    <row r="1137" spans="6:7" x14ac:dyDescent="0.3">
      <c r="F1137" s="5"/>
      <c r="G1137" s="5"/>
    </row>
    <row r="1138" spans="6:7" x14ac:dyDescent="0.3">
      <c r="F1138" s="5"/>
      <c r="G1138" s="5"/>
    </row>
    <row r="1139" spans="6:7" x14ac:dyDescent="0.3">
      <c r="F1139" s="5"/>
      <c r="G1139" s="5"/>
    </row>
    <row r="1140" spans="6:7" x14ac:dyDescent="0.3">
      <c r="F1140" s="5"/>
      <c r="G1140" s="5"/>
    </row>
    <row r="1141" spans="6:7" x14ac:dyDescent="0.3">
      <c r="F1141" s="5"/>
      <c r="G1141" s="5"/>
    </row>
    <row r="1142" spans="6:7" x14ac:dyDescent="0.3">
      <c r="F1142" s="5"/>
      <c r="G1142" s="5"/>
    </row>
    <row r="1143" spans="6:7" x14ac:dyDescent="0.3">
      <c r="F1143" s="5"/>
      <c r="G1143" s="5"/>
    </row>
    <row r="1144" spans="6:7" x14ac:dyDescent="0.3">
      <c r="F1144" s="5"/>
      <c r="G1144" s="5"/>
    </row>
    <row r="1145" spans="6:7" x14ac:dyDescent="0.3">
      <c r="F1145" s="5"/>
      <c r="G1145" s="5"/>
    </row>
    <row r="1146" spans="6:7" x14ac:dyDescent="0.3">
      <c r="F1146" s="5"/>
      <c r="G1146" s="5"/>
    </row>
    <row r="1147" spans="6:7" x14ac:dyDescent="0.3">
      <c r="F1147" s="5"/>
      <c r="G1147" s="5"/>
    </row>
    <row r="1148" spans="6:7" x14ac:dyDescent="0.3">
      <c r="F1148" s="5"/>
      <c r="G1148" s="5"/>
    </row>
    <row r="1149" spans="6:7" x14ac:dyDescent="0.3">
      <c r="F1149" s="5"/>
      <c r="G1149" s="5"/>
    </row>
    <row r="1150" spans="6:7" x14ac:dyDescent="0.3">
      <c r="F1150" s="5"/>
      <c r="G1150" s="5"/>
    </row>
    <row r="1151" spans="6:7" x14ac:dyDescent="0.3">
      <c r="F1151" s="5"/>
      <c r="G1151" s="5"/>
    </row>
    <row r="1152" spans="6:7" x14ac:dyDescent="0.3">
      <c r="F1152" s="5"/>
      <c r="G1152" s="5"/>
    </row>
    <row r="1153" spans="6:7" x14ac:dyDescent="0.3">
      <c r="F1153" s="5"/>
      <c r="G1153" s="5"/>
    </row>
    <row r="1154" spans="6:7" x14ac:dyDescent="0.3">
      <c r="F1154" s="5"/>
      <c r="G1154" s="5"/>
    </row>
    <row r="1155" spans="6:7" x14ac:dyDescent="0.3">
      <c r="F1155" s="5"/>
      <c r="G1155" s="5"/>
    </row>
    <row r="1156" spans="6:7" x14ac:dyDescent="0.3">
      <c r="F1156" s="5"/>
      <c r="G1156" s="5"/>
    </row>
    <row r="1157" spans="6:7" x14ac:dyDescent="0.3">
      <c r="F1157" s="5"/>
      <c r="G1157" s="5"/>
    </row>
    <row r="1158" spans="6:7" x14ac:dyDescent="0.3">
      <c r="F1158" s="5"/>
      <c r="G1158" s="5"/>
    </row>
    <row r="1159" spans="6:7" x14ac:dyDescent="0.3">
      <c r="F1159" s="5"/>
      <c r="G1159" s="5"/>
    </row>
    <row r="1160" spans="6:7" x14ac:dyDescent="0.3">
      <c r="F1160" s="5"/>
      <c r="G1160" s="5"/>
    </row>
    <row r="1161" spans="6:7" x14ac:dyDescent="0.3">
      <c r="F1161" s="5"/>
      <c r="G1161" s="5"/>
    </row>
    <row r="1162" spans="6:7" x14ac:dyDescent="0.3">
      <c r="F1162" s="5"/>
      <c r="G1162" s="5"/>
    </row>
    <row r="1163" spans="6:7" x14ac:dyDescent="0.3">
      <c r="F1163" s="5"/>
      <c r="G1163" s="5"/>
    </row>
    <row r="1164" spans="6:7" x14ac:dyDescent="0.3">
      <c r="F1164" s="5"/>
      <c r="G1164" s="5"/>
    </row>
    <row r="1165" spans="6:7" x14ac:dyDescent="0.3">
      <c r="F1165" s="5"/>
      <c r="G1165" s="5"/>
    </row>
    <row r="1166" spans="6:7" x14ac:dyDescent="0.3">
      <c r="F1166" s="5"/>
      <c r="G1166" s="5"/>
    </row>
    <row r="1167" spans="6:7" x14ac:dyDescent="0.3">
      <c r="F1167" s="5"/>
      <c r="G1167" s="5"/>
    </row>
    <row r="1168" spans="6:7" x14ac:dyDescent="0.3">
      <c r="F1168" s="5"/>
      <c r="G1168" s="5"/>
    </row>
    <row r="1169" spans="6:7" x14ac:dyDescent="0.3">
      <c r="F1169" s="5"/>
      <c r="G1169" s="5"/>
    </row>
    <row r="1170" spans="6:7" x14ac:dyDescent="0.3">
      <c r="F1170" s="5"/>
      <c r="G1170" s="5"/>
    </row>
    <row r="1171" spans="6:7" x14ac:dyDescent="0.3">
      <c r="F1171" s="5"/>
      <c r="G1171" s="5"/>
    </row>
    <row r="1172" spans="6:7" x14ac:dyDescent="0.3">
      <c r="F1172" s="5"/>
      <c r="G1172" s="5"/>
    </row>
    <row r="1173" spans="6:7" x14ac:dyDescent="0.3">
      <c r="F1173" s="5"/>
      <c r="G1173" s="5"/>
    </row>
    <row r="1174" spans="6:7" x14ac:dyDescent="0.3">
      <c r="F1174" s="5"/>
      <c r="G1174" s="5"/>
    </row>
    <row r="1175" spans="6:7" x14ac:dyDescent="0.3">
      <c r="F1175" s="5"/>
      <c r="G1175" s="5"/>
    </row>
    <row r="1176" spans="6:7" x14ac:dyDescent="0.3">
      <c r="F1176" s="5"/>
      <c r="G1176" s="5"/>
    </row>
    <row r="1177" spans="6:7" x14ac:dyDescent="0.3">
      <c r="F1177" s="5"/>
      <c r="G1177" s="5"/>
    </row>
    <row r="1178" spans="6:7" x14ac:dyDescent="0.3">
      <c r="F1178" s="5"/>
      <c r="G1178" s="5"/>
    </row>
    <row r="1179" spans="6:7" x14ac:dyDescent="0.3">
      <c r="F1179" s="5"/>
      <c r="G1179" s="5"/>
    </row>
    <row r="1180" spans="6:7" x14ac:dyDescent="0.3">
      <c r="F1180" s="5"/>
      <c r="G1180" s="5"/>
    </row>
    <row r="1181" spans="6:7" x14ac:dyDescent="0.3">
      <c r="F1181" s="5"/>
      <c r="G1181" s="5"/>
    </row>
    <row r="1182" spans="6:7" x14ac:dyDescent="0.3">
      <c r="F1182" s="5"/>
      <c r="G1182" s="5"/>
    </row>
    <row r="1183" spans="6:7" x14ac:dyDescent="0.3">
      <c r="F1183" s="5"/>
      <c r="G1183" s="5"/>
    </row>
    <row r="1184" spans="6:7" x14ac:dyDescent="0.3">
      <c r="F1184" s="5"/>
      <c r="G1184" s="5"/>
    </row>
    <row r="1185" spans="6:7" x14ac:dyDescent="0.3">
      <c r="F1185" s="5"/>
      <c r="G1185" s="5"/>
    </row>
    <row r="1186" spans="6:7" x14ac:dyDescent="0.3">
      <c r="F1186" s="5"/>
      <c r="G1186" s="5"/>
    </row>
    <row r="1187" spans="6:7" x14ac:dyDescent="0.3">
      <c r="F1187" s="5"/>
      <c r="G1187" s="5"/>
    </row>
    <row r="1188" spans="6:7" x14ac:dyDescent="0.3">
      <c r="F1188" s="5"/>
      <c r="G1188" s="5"/>
    </row>
    <row r="1189" spans="6:7" x14ac:dyDescent="0.3">
      <c r="F1189" s="5"/>
      <c r="G1189" s="5"/>
    </row>
    <row r="1190" spans="6:7" x14ac:dyDescent="0.3">
      <c r="F1190" s="5"/>
      <c r="G1190" s="5"/>
    </row>
    <row r="1191" spans="6:7" x14ac:dyDescent="0.3">
      <c r="F1191" s="5"/>
      <c r="G1191" s="5"/>
    </row>
    <row r="1192" spans="6:7" x14ac:dyDescent="0.3">
      <c r="F1192" s="5"/>
      <c r="G1192" s="5"/>
    </row>
    <row r="1193" spans="6:7" x14ac:dyDescent="0.3">
      <c r="F1193" s="5"/>
      <c r="G1193" s="5"/>
    </row>
    <row r="1194" spans="6:7" x14ac:dyDescent="0.3">
      <c r="F1194" s="5"/>
      <c r="G1194" s="5"/>
    </row>
    <row r="1195" spans="6:7" x14ac:dyDescent="0.3">
      <c r="F1195" s="5"/>
      <c r="G1195" s="5"/>
    </row>
    <row r="1196" spans="6:7" x14ac:dyDescent="0.3">
      <c r="F1196" s="5"/>
      <c r="G1196" s="5"/>
    </row>
    <row r="1197" spans="6:7" x14ac:dyDescent="0.3">
      <c r="F1197" s="5"/>
      <c r="G1197" s="5"/>
    </row>
    <row r="1198" spans="6:7" x14ac:dyDescent="0.3">
      <c r="F1198" s="5"/>
      <c r="G1198" s="5"/>
    </row>
    <row r="1199" spans="6:7" x14ac:dyDescent="0.3">
      <c r="F1199" s="5"/>
      <c r="G1199" s="5"/>
    </row>
    <row r="1200" spans="6:7" x14ac:dyDescent="0.3">
      <c r="F1200" s="5"/>
      <c r="G1200" s="5"/>
    </row>
    <row r="1201" spans="6:7" x14ac:dyDescent="0.3">
      <c r="F1201" s="5"/>
      <c r="G1201" s="5"/>
    </row>
    <row r="1202" spans="6:7" x14ac:dyDescent="0.3">
      <c r="F1202" s="5"/>
      <c r="G1202" s="5"/>
    </row>
    <row r="1203" spans="6:7" x14ac:dyDescent="0.3">
      <c r="F1203" s="5"/>
      <c r="G1203" s="5"/>
    </row>
    <row r="1204" spans="6:7" x14ac:dyDescent="0.3">
      <c r="F1204" s="5"/>
      <c r="G1204" s="5"/>
    </row>
    <row r="1205" spans="6:7" x14ac:dyDescent="0.3">
      <c r="F1205" s="5"/>
      <c r="G1205" s="5"/>
    </row>
    <row r="1206" spans="6:7" x14ac:dyDescent="0.3">
      <c r="F1206" s="5"/>
      <c r="G1206" s="5"/>
    </row>
    <row r="1207" spans="6:7" x14ac:dyDescent="0.3">
      <c r="F1207" s="5"/>
      <c r="G1207" s="5"/>
    </row>
    <row r="1208" spans="6:7" x14ac:dyDescent="0.3">
      <c r="F1208" s="5"/>
      <c r="G1208" s="5"/>
    </row>
    <row r="1209" spans="6:7" x14ac:dyDescent="0.3">
      <c r="F1209" s="5"/>
      <c r="G1209" s="5"/>
    </row>
    <row r="1210" spans="6:7" x14ac:dyDescent="0.3">
      <c r="F1210" s="5"/>
      <c r="G1210" s="5"/>
    </row>
    <row r="1211" spans="6:7" x14ac:dyDescent="0.3">
      <c r="F1211" s="5"/>
      <c r="G1211" s="5"/>
    </row>
    <row r="1212" spans="6:7" x14ac:dyDescent="0.3">
      <c r="F1212" s="5"/>
      <c r="G1212" s="5"/>
    </row>
    <row r="1213" spans="6:7" x14ac:dyDescent="0.3">
      <c r="F1213" s="5"/>
      <c r="G1213" s="5"/>
    </row>
    <row r="1214" spans="6:7" x14ac:dyDescent="0.3">
      <c r="F1214" s="5"/>
      <c r="G1214" s="5"/>
    </row>
    <row r="1215" spans="6:7" x14ac:dyDescent="0.3">
      <c r="F1215" s="5"/>
      <c r="G1215" s="5"/>
    </row>
    <row r="1216" spans="6:7" x14ac:dyDescent="0.3">
      <c r="F1216" s="5"/>
      <c r="G1216" s="5"/>
    </row>
    <row r="1217" spans="6:7" x14ac:dyDescent="0.3">
      <c r="F1217" s="5"/>
      <c r="G1217" s="5"/>
    </row>
    <row r="1218" spans="6:7" x14ac:dyDescent="0.3">
      <c r="F1218" s="5"/>
      <c r="G1218" s="5"/>
    </row>
    <row r="1219" spans="6:7" x14ac:dyDescent="0.3">
      <c r="F1219" s="5"/>
      <c r="G1219" s="5"/>
    </row>
    <row r="1220" spans="6:7" x14ac:dyDescent="0.3">
      <c r="F1220" s="5"/>
      <c r="G1220" s="5"/>
    </row>
    <row r="1221" spans="6:7" x14ac:dyDescent="0.3">
      <c r="F1221" s="5"/>
      <c r="G1221" s="5"/>
    </row>
    <row r="1222" spans="6:7" x14ac:dyDescent="0.3">
      <c r="F1222" s="5"/>
      <c r="G1222" s="5"/>
    </row>
    <row r="1223" spans="6:7" x14ac:dyDescent="0.3">
      <c r="F1223" s="5"/>
      <c r="G1223" s="5"/>
    </row>
    <row r="1224" spans="6:7" x14ac:dyDescent="0.3">
      <c r="F1224" s="5"/>
      <c r="G1224" s="5"/>
    </row>
    <row r="1225" spans="6:7" x14ac:dyDescent="0.3">
      <c r="F1225" s="5"/>
      <c r="G1225" s="5"/>
    </row>
    <row r="1226" spans="6:7" x14ac:dyDescent="0.3">
      <c r="F1226" s="5"/>
      <c r="G1226" s="5"/>
    </row>
    <row r="1227" spans="6:7" x14ac:dyDescent="0.3">
      <c r="F1227" s="5"/>
      <c r="G1227" s="5"/>
    </row>
    <row r="1228" spans="6:7" x14ac:dyDescent="0.3">
      <c r="F1228" s="5"/>
      <c r="G1228" s="5"/>
    </row>
    <row r="1229" spans="6:7" x14ac:dyDescent="0.3">
      <c r="F1229" s="5"/>
      <c r="G1229" s="5"/>
    </row>
    <row r="1230" spans="6:7" x14ac:dyDescent="0.3">
      <c r="F1230" s="5"/>
      <c r="G1230" s="5"/>
    </row>
    <row r="1231" spans="6:7" x14ac:dyDescent="0.3">
      <c r="F1231" s="5"/>
      <c r="G1231" s="5"/>
    </row>
    <row r="1232" spans="6:7" x14ac:dyDescent="0.3">
      <c r="F1232" s="5"/>
      <c r="G1232" s="5"/>
    </row>
    <row r="1233" spans="6:7" x14ac:dyDescent="0.3">
      <c r="F1233" s="5"/>
      <c r="G1233" s="5"/>
    </row>
    <row r="1234" spans="6:7" x14ac:dyDescent="0.3">
      <c r="F1234" s="5"/>
      <c r="G1234" s="5"/>
    </row>
    <row r="1235" spans="6:7" x14ac:dyDescent="0.3">
      <c r="F1235" s="5"/>
      <c r="G1235" s="5"/>
    </row>
    <row r="1236" spans="6:7" x14ac:dyDescent="0.3">
      <c r="F1236" s="5"/>
      <c r="G1236" s="5"/>
    </row>
    <row r="1237" spans="6:7" x14ac:dyDescent="0.3">
      <c r="F1237" s="5"/>
      <c r="G1237" s="5"/>
    </row>
    <row r="1238" spans="6:7" x14ac:dyDescent="0.3">
      <c r="F1238" s="5"/>
      <c r="G1238" s="5"/>
    </row>
    <row r="1239" spans="6:7" x14ac:dyDescent="0.3">
      <c r="F1239" s="5"/>
      <c r="G1239" s="5"/>
    </row>
    <row r="1240" spans="6:7" x14ac:dyDescent="0.3">
      <c r="F1240" s="5"/>
      <c r="G1240" s="5"/>
    </row>
    <row r="1241" spans="6:7" x14ac:dyDescent="0.3">
      <c r="F1241" s="5"/>
      <c r="G1241" s="5"/>
    </row>
    <row r="1242" spans="6:7" x14ac:dyDescent="0.3">
      <c r="F1242" s="5"/>
      <c r="G1242" s="5"/>
    </row>
    <row r="1243" spans="6:7" x14ac:dyDescent="0.3">
      <c r="F1243" s="5"/>
      <c r="G1243" s="5"/>
    </row>
    <row r="1244" spans="6:7" x14ac:dyDescent="0.3">
      <c r="F1244" s="5"/>
      <c r="G1244" s="5"/>
    </row>
    <row r="1245" spans="6:7" x14ac:dyDescent="0.3">
      <c r="F1245" s="5"/>
      <c r="G1245" s="5"/>
    </row>
    <row r="1246" spans="6:7" x14ac:dyDescent="0.3">
      <c r="F1246" s="5"/>
      <c r="G1246" s="5"/>
    </row>
    <row r="1247" spans="6:7" x14ac:dyDescent="0.3">
      <c r="F1247" s="5"/>
      <c r="G1247" s="5"/>
    </row>
    <row r="1248" spans="6:7" x14ac:dyDescent="0.3">
      <c r="F1248" s="5"/>
      <c r="G1248" s="5"/>
    </row>
    <row r="1249" spans="6:7" x14ac:dyDescent="0.3">
      <c r="F1249" s="5"/>
      <c r="G1249" s="5"/>
    </row>
    <row r="1250" spans="6:7" x14ac:dyDescent="0.3">
      <c r="F1250" s="5"/>
      <c r="G1250" s="5"/>
    </row>
    <row r="1251" spans="6:7" x14ac:dyDescent="0.3">
      <c r="F1251" s="5"/>
      <c r="G1251" s="5"/>
    </row>
    <row r="1252" spans="6:7" x14ac:dyDescent="0.3">
      <c r="F1252" s="5"/>
      <c r="G1252" s="5"/>
    </row>
    <row r="1253" spans="6:7" x14ac:dyDescent="0.3">
      <c r="F1253" s="5"/>
      <c r="G1253" s="5"/>
    </row>
    <row r="1254" spans="6:7" x14ac:dyDescent="0.3">
      <c r="F1254" s="5"/>
      <c r="G1254" s="5"/>
    </row>
    <row r="1255" spans="6:7" x14ac:dyDescent="0.3">
      <c r="F1255" s="5"/>
      <c r="G1255" s="5"/>
    </row>
    <row r="1256" spans="6:7" x14ac:dyDescent="0.3">
      <c r="F1256" s="5"/>
      <c r="G1256" s="5"/>
    </row>
    <row r="1257" spans="6:7" x14ac:dyDescent="0.3">
      <c r="F1257" s="5"/>
      <c r="G1257" s="5"/>
    </row>
    <row r="1258" spans="6:7" x14ac:dyDescent="0.3">
      <c r="F1258" s="5"/>
      <c r="G1258" s="5"/>
    </row>
    <row r="1259" spans="6:7" x14ac:dyDescent="0.3">
      <c r="F1259" s="5"/>
      <c r="G1259" s="5"/>
    </row>
    <row r="1260" spans="6:7" x14ac:dyDescent="0.3">
      <c r="F1260" s="5"/>
      <c r="G1260" s="5"/>
    </row>
    <row r="1261" spans="6:7" x14ac:dyDescent="0.3">
      <c r="F1261" s="5"/>
      <c r="G1261" s="5"/>
    </row>
    <row r="1262" spans="6:7" x14ac:dyDescent="0.3">
      <c r="F1262" s="5"/>
      <c r="G1262" s="5"/>
    </row>
    <row r="1263" spans="6:7" x14ac:dyDescent="0.3">
      <c r="F1263" s="5"/>
      <c r="G1263" s="5"/>
    </row>
    <row r="1264" spans="6:7" x14ac:dyDescent="0.3">
      <c r="F1264" s="5"/>
      <c r="G1264" s="5"/>
    </row>
    <row r="1265" spans="6:7" x14ac:dyDescent="0.3">
      <c r="F1265" s="5"/>
      <c r="G1265" s="5"/>
    </row>
    <row r="1266" spans="6:7" x14ac:dyDescent="0.3">
      <c r="F1266" s="5"/>
      <c r="G1266" s="5"/>
    </row>
    <row r="1267" spans="6:7" x14ac:dyDescent="0.3">
      <c r="F1267" s="5"/>
      <c r="G1267" s="5"/>
    </row>
    <row r="1268" spans="6:7" x14ac:dyDescent="0.3">
      <c r="F1268" s="5"/>
      <c r="G1268" s="5"/>
    </row>
    <row r="1269" spans="6:7" x14ac:dyDescent="0.3">
      <c r="F1269" s="5"/>
      <c r="G1269" s="5"/>
    </row>
    <row r="1270" spans="6:7" x14ac:dyDescent="0.3">
      <c r="F1270" s="5"/>
      <c r="G1270" s="5"/>
    </row>
    <row r="1271" spans="6:7" x14ac:dyDescent="0.3">
      <c r="F1271" s="5"/>
      <c r="G1271" s="5"/>
    </row>
    <row r="1272" spans="6:7" x14ac:dyDescent="0.3">
      <c r="F1272" s="5"/>
      <c r="G1272" s="5"/>
    </row>
    <row r="1273" spans="6:7" x14ac:dyDescent="0.3">
      <c r="F1273" s="5"/>
      <c r="G1273" s="5"/>
    </row>
    <row r="1274" spans="6:7" x14ac:dyDescent="0.3">
      <c r="F1274" s="5"/>
      <c r="G1274" s="5"/>
    </row>
    <row r="1275" spans="6:7" x14ac:dyDescent="0.3">
      <c r="F1275" s="5"/>
      <c r="G1275" s="5"/>
    </row>
    <row r="1276" spans="6:7" x14ac:dyDescent="0.3">
      <c r="F1276" s="5"/>
      <c r="G1276" s="5"/>
    </row>
    <row r="1277" spans="6:7" x14ac:dyDescent="0.3">
      <c r="F1277" s="5"/>
      <c r="G1277" s="5"/>
    </row>
    <row r="1278" spans="6:7" x14ac:dyDescent="0.3">
      <c r="F1278" s="5"/>
      <c r="G1278" s="5"/>
    </row>
    <row r="1279" spans="6:7" x14ac:dyDescent="0.3">
      <c r="F1279" s="5"/>
      <c r="G1279" s="5"/>
    </row>
    <row r="1280" spans="6:7" x14ac:dyDescent="0.3">
      <c r="F1280" s="5"/>
      <c r="G1280" s="5"/>
    </row>
    <row r="1281" spans="6:7" x14ac:dyDescent="0.3">
      <c r="F1281" s="5"/>
      <c r="G1281" s="5"/>
    </row>
    <row r="1282" spans="6:7" x14ac:dyDescent="0.3">
      <c r="F1282" s="5"/>
      <c r="G1282" s="5"/>
    </row>
    <row r="1283" spans="6:7" x14ac:dyDescent="0.3">
      <c r="F1283" s="5"/>
      <c r="G1283" s="5"/>
    </row>
    <row r="1284" spans="6:7" x14ac:dyDescent="0.3">
      <c r="F1284" s="5"/>
      <c r="G1284" s="5"/>
    </row>
    <row r="1285" spans="6:7" x14ac:dyDescent="0.3">
      <c r="F1285" s="5"/>
      <c r="G1285" s="5"/>
    </row>
    <row r="1286" spans="6:7" x14ac:dyDescent="0.3">
      <c r="F1286" s="5"/>
      <c r="G1286" s="5"/>
    </row>
    <row r="1287" spans="6:7" x14ac:dyDescent="0.3">
      <c r="F1287" s="5"/>
      <c r="G1287" s="5"/>
    </row>
    <row r="1288" spans="6:7" x14ac:dyDescent="0.3">
      <c r="F1288" s="5"/>
      <c r="G1288" s="5"/>
    </row>
    <row r="1289" spans="6:7" x14ac:dyDescent="0.3">
      <c r="F1289" s="5"/>
      <c r="G1289" s="5"/>
    </row>
    <row r="1290" spans="6:7" x14ac:dyDescent="0.3">
      <c r="F1290" s="5"/>
      <c r="G1290" s="5"/>
    </row>
    <row r="1291" spans="6:7" x14ac:dyDescent="0.3">
      <c r="F1291" s="5"/>
      <c r="G1291" s="5"/>
    </row>
    <row r="1292" spans="6:7" x14ac:dyDescent="0.3">
      <c r="F1292" s="5"/>
      <c r="G1292" s="5"/>
    </row>
    <row r="1293" spans="6:7" x14ac:dyDescent="0.3">
      <c r="F1293" s="5"/>
      <c r="G1293" s="5"/>
    </row>
    <row r="1294" spans="6:7" x14ac:dyDescent="0.3">
      <c r="F1294" s="5"/>
      <c r="G1294" s="5"/>
    </row>
    <row r="1295" spans="6:7" x14ac:dyDescent="0.3">
      <c r="F1295" s="5"/>
      <c r="G1295" s="5"/>
    </row>
    <row r="1296" spans="6:7" x14ac:dyDescent="0.3">
      <c r="F1296" s="5"/>
      <c r="G1296" s="5"/>
    </row>
    <row r="1297" spans="6:7" x14ac:dyDescent="0.3">
      <c r="F1297" s="5"/>
      <c r="G1297" s="5"/>
    </row>
    <row r="1298" spans="6:7" x14ac:dyDescent="0.3">
      <c r="F1298" s="5"/>
      <c r="G1298" s="5"/>
    </row>
    <row r="1299" spans="6:7" x14ac:dyDescent="0.3">
      <c r="F1299" s="5"/>
      <c r="G1299" s="5"/>
    </row>
    <row r="1300" spans="6:7" x14ac:dyDescent="0.3">
      <c r="F1300" s="5"/>
      <c r="G1300" s="5"/>
    </row>
    <row r="1301" spans="6:7" x14ac:dyDescent="0.3">
      <c r="F1301" s="5"/>
      <c r="G1301" s="5"/>
    </row>
    <row r="1302" spans="6:7" x14ac:dyDescent="0.3">
      <c r="F1302" s="5"/>
      <c r="G1302" s="5"/>
    </row>
    <row r="1303" spans="6:7" x14ac:dyDescent="0.3">
      <c r="F1303" s="5"/>
      <c r="G1303" s="5"/>
    </row>
    <row r="1304" spans="6:7" x14ac:dyDescent="0.3">
      <c r="F1304" s="5"/>
      <c r="G1304" s="5"/>
    </row>
    <row r="1305" spans="6:7" x14ac:dyDescent="0.3">
      <c r="F1305" s="5"/>
      <c r="G1305" s="5"/>
    </row>
    <row r="1306" spans="6:7" x14ac:dyDescent="0.3">
      <c r="F1306" s="5"/>
      <c r="G1306" s="5"/>
    </row>
    <row r="1307" spans="6:7" x14ac:dyDescent="0.3">
      <c r="F1307" s="5"/>
      <c r="G1307" s="5"/>
    </row>
    <row r="1308" spans="6:7" x14ac:dyDescent="0.3">
      <c r="F1308" s="5"/>
      <c r="G1308" s="5"/>
    </row>
    <row r="1309" spans="6:7" x14ac:dyDescent="0.3">
      <c r="F1309" s="5"/>
      <c r="G1309" s="5"/>
    </row>
    <row r="1310" spans="6:7" x14ac:dyDescent="0.3">
      <c r="F1310" s="5"/>
      <c r="G1310" s="5"/>
    </row>
    <row r="1311" spans="6:7" x14ac:dyDescent="0.3">
      <c r="F1311" s="5"/>
      <c r="G1311" s="5"/>
    </row>
    <row r="1312" spans="6:7" x14ac:dyDescent="0.3">
      <c r="F1312" s="5"/>
      <c r="G1312" s="5"/>
    </row>
    <row r="1313" spans="6:7" x14ac:dyDescent="0.3">
      <c r="F1313" s="5"/>
      <c r="G1313" s="5"/>
    </row>
    <row r="1314" spans="6:7" x14ac:dyDescent="0.3">
      <c r="F1314" s="5"/>
      <c r="G1314" s="5"/>
    </row>
    <row r="1315" spans="6:7" x14ac:dyDescent="0.3">
      <c r="F1315" s="5"/>
      <c r="G1315" s="5"/>
    </row>
    <row r="1316" spans="6:7" x14ac:dyDescent="0.3">
      <c r="F1316" s="5"/>
      <c r="G1316" s="5"/>
    </row>
    <row r="1317" spans="6:7" x14ac:dyDescent="0.3">
      <c r="F1317" s="5"/>
      <c r="G1317" s="5"/>
    </row>
    <row r="1318" spans="6:7" x14ac:dyDescent="0.3">
      <c r="F1318" s="5"/>
      <c r="G1318" s="5"/>
    </row>
    <row r="1319" spans="6:7" x14ac:dyDescent="0.3">
      <c r="F1319" s="5"/>
      <c r="G1319" s="5"/>
    </row>
    <row r="1320" spans="6:7" x14ac:dyDescent="0.3">
      <c r="F1320" s="5"/>
      <c r="G1320" s="5"/>
    </row>
    <row r="1321" spans="6:7" x14ac:dyDescent="0.3">
      <c r="F1321" s="5"/>
      <c r="G1321" s="5"/>
    </row>
    <row r="1322" spans="6:7" x14ac:dyDescent="0.3">
      <c r="F1322" s="5"/>
      <c r="G1322" s="5"/>
    </row>
    <row r="1323" spans="6:7" x14ac:dyDescent="0.3">
      <c r="F1323" s="5"/>
      <c r="G1323" s="5"/>
    </row>
    <row r="1324" spans="6:7" x14ac:dyDescent="0.3">
      <c r="F1324" s="5"/>
      <c r="G1324" s="5"/>
    </row>
    <row r="1325" spans="6:7" x14ac:dyDescent="0.3">
      <c r="F1325" s="5"/>
      <c r="G1325" s="5"/>
    </row>
    <row r="1326" spans="6:7" x14ac:dyDescent="0.3">
      <c r="F1326" s="5"/>
      <c r="G1326" s="5"/>
    </row>
    <row r="1327" spans="6:7" x14ac:dyDescent="0.3">
      <c r="F1327" s="5"/>
      <c r="G1327" s="5"/>
    </row>
    <row r="1328" spans="6:7" x14ac:dyDescent="0.3">
      <c r="F1328" s="5"/>
      <c r="G1328" s="5"/>
    </row>
    <row r="1329" spans="6:7" x14ac:dyDescent="0.3">
      <c r="F1329" s="5"/>
      <c r="G1329" s="5"/>
    </row>
    <row r="1330" spans="6:7" x14ac:dyDescent="0.3">
      <c r="F1330" s="5"/>
      <c r="G1330" s="5"/>
    </row>
    <row r="1331" spans="6:7" x14ac:dyDescent="0.3">
      <c r="F1331" s="5"/>
      <c r="G1331" s="5"/>
    </row>
    <row r="1332" spans="6:7" x14ac:dyDescent="0.3">
      <c r="F1332" s="5"/>
      <c r="G1332" s="5"/>
    </row>
    <row r="1333" spans="6:7" x14ac:dyDescent="0.3">
      <c r="F1333" s="5"/>
      <c r="G1333" s="5"/>
    </row>
    <row r="1334" spans="6:7" x14ac:dyDescent="0.3">
      <c r="F1334" s="5"/>
      <c r="G1334" s="5"/>
    </row>
    <row r="1335" spans="6:7" x14ac:dyDescent="0.3">
      <c r="F1335" s="5"/>
      <c r="G1335" s="5"/>
    </row>
    <row r="1336" spans="6:7" x14ac:dyDescent="0.3">
      <c r="F1336" s="5"/>
      <c r="G1336" s="5"/>
    </row>
    <row r="1337" spans="6:7" x14ac:dyDescent="0.3">
      <c r="F1337" s="5"/>
      <c r="G1337" s="5"/>
    </row>
    <row r="1338" spans="6:7" x14ac:dyDescent="0.3">
      <c r="F1338" s="5"/>
      <c r="G1338" s="5"/>
    </row>
    <row r="1339" spans="6:7" x14ac:dyDescent="0.3">
      <c r="F1339" s="5"/>
      <c r="G1339" s="5"/>
    </row>
    <row r="1340" spans="6:7" x14ac:dyDescent="0.3">
      <c r="F1340" s="5"/>
      <c r="G1340" s="5"/>
    </row>
    <row r="1341" spans="6:7" x14ac:dyDescent="0.3">
      <c r="F1341" s="5"/>
      <c r="G1341" s="5"/>
    </row>
    <row r="1342" spans="6:7" x14ac:dyDescent="0.3">
      <c r="F1342" s="5"/>
      <c r="G1342" s="5"/>
    </row>
    <row r="1343" spans="6:7" x14ac:dyDescent="0.3">
      <c r="F1343" s="5"/>
      <c r="G1343" s="5"/>
    </row>
    <row r="1344" spans="6:7" x14ac:dyDescent="0.3">
      <c r="F1344" s="5"/>
      <c r="G1344" s="5"/>
    </row>
    <row r="1345" spans="6:7" x14ac:dyDescent="0.3">
      <c r="F1345" s="5"/>
      <c r="G1345" s="5"/>
    </row>
    <row r="1346" spans="6:7" x14ac:dyDescent="0.3">
      <c r="F1346" s="5"/>
      <c r="G1346" s="5"/>
    </row>
    <row r="1347" spans="6:7" x14ac:dyDescent="0.3">
      <c r="F1347" s="5"/>
      <c r="G1347" s="5"/>
    </row>
    <row r="1348" spans="6:7" x14ac:dyDescent="0.3">
      <c r="F1348" s="5"/>
      <c r="G1348" s="5"/>
    </row>
    <row r="1349" spans="6:7" x14ac:dyDescent="0.3">
      <c r="F1349" s="5"/>
      <c r="G1349" s="5"/>
    </row>
    <row r="1350" spans="6:7" x14ac:dyDescent="0.3">
      <c r="F1350" s="5"/>
      <c r="G1350" s="5"/>
    </row>
    <row r="1351" spans="6:7" x14ac:dyDescent="0.3">
      <c r="F1351" s="5"/>
      <c r="G1351" s="5"/>
    </row>
    <row r="1352" spans="6:7" x14ac:dyDescent="0.3">
      <c r="F1352" s="5"/>
      <c r="G1352" s="5"/>
    </row>
    <row r="1353" spans="6:7" x14ac:dyDescent="0.3">
      <c r="F1353" s="5"/>
      <c r="G1353" s="5"/>
    </row>
    <row r="1354" spans="6:7" x14ac:dyDescent="0.3">
      <c r="F1354" s="5"/>
      <c r="G1354" s="5"/>
    </row>
    <row r="1355" spans="6:7" x14ac:dyDescent="0.3">
      <c r="F1355" s="5"/>
      <c r="G1355" s="5"/>
    </row>
    <row r="1356" spans="6:7" x14ac:dyDescent="0.3">
      <c r="F1356" s="5"/>
      <c r="G1356" s="5"/>
    </row>
    <row r="1357" spans="6:7" x14ac:dyDescent="0.3">
      <c r="F1357" s="5"/>
      <c r="G1357" s="5"/>
    </row>
    <row r="1358" spans="6:7" x14ac:dyDescent="0.3">
      <c r="F1358" s="5"/>
      <c r="G1358" s="5"/>
    </row>
    <row r="1359" spans="6:7" x14ac:dyDescent="0.3">
      <c r="F1359" s="5"/>
      <c r="G1359" s="5"/>
    </row>
    <row r="1360" spans="6:7" x14ac:dyDescent="0.3">
      <c r="F1360" s="5"/>
      <c r="G1360" s="5"/>
    </row>
    <row r="1361" spans="6:7" x14ac:dyDescent="0.3">
      <c r="F1361" s="5"/>
      <c r="G1361" s="5"/>
    </row>
    <row r="1362" spans="6:7" x14ac:dyDescent="0.3">
      <c r="F1362" s="5"/>
      <c r="G1362" s="5"/>
    </row>
    <row r="1363" spans="6:7" x14ac:dyDescent="0.3">
      <c r="F1363" s="5"/>
      <c r="G1363" s="5"/>
    </row>
    <row r="1364" spans="6:7" x14ac:dyDescent="0.3">
      <c r="F1364" s="5"/>
      <c r="G1364" s="5"/>
    </row>
    <row r="1365" spans="6:7" x14ac:dyDescent="0.3">
      <c r="F1365" s="5"/>
      <c r="G1365" s="5"/>
    </row>
    <row r="1366" spans="6:7" x14ac:dyDescent="0.3">
      <c r="F1366" s="5"/>
      <c r="G1366" s="5"/>
    </row>
    <row r="1367" spans="6:7" x14ac:dyDescent="0.3">
      <c r="F1367" s="5"/>
      <c r="G1367" s="5"/>
    </row>
    <row r="1368" spans="6:7" x14ac:dyDescent="0.3">
      <c r="F1368" s="5"/>
      <c r="G1368" s="5"/>
    </row>
    <row r="1369" spans="6:7" x14ac:dyDescent="0.3">
      <c r="F1369" s="5"/>
      <c r="G1369" s="5"/>
    </row>
    <row r="1370" spans="6:7" x14ac:dyDescent="0.3">
      <c r="F1370" s="5"/>
      <c r="G1370" s="5"/>
    </row>
    <row r="1371" spans="6:7" x14ac:dyDescent="0.3">
      <c r="F1371" s="5"/>
      <c r="G1371" s="5"/>
    </row>
    <row r="1372" spans="6:7" x14ac:dyDescent="0.3">
      <c r="F1372" s="5"/>
      <c r="G1372" s="5"/>
    </row>
    <row r="1373" spans="6:7" x14ac:dyDescent="0.3">
      <c r="F1373" s="5"/>
      <c r="G1373" s="5"/>
    </row>
    <row r="1374" spans="6:7" x14ac:dyDescent="0.3">
      <c r="F1374" s="5"/>
      <c r="G1374" s="5"/>
    </row>
    <row r="1375" spans="6:7" x14ac:dyDescent="0.3">
      <c r="F1375" s="5"/>
      <c r="G1375" s="5"/>
    </row>
    <row r="1376" spans="6:7" x14ac:dyDescent="0.3">
      <c r="F1376" s="5"/>
      <c r="G1376" s="5"/>
    </row>
    <row r="1377" spans="6:7" x14ac:dyDescent="0.3">
      <c r="F1377" s="5"/>
      <c r="G1377" s="5"/>
    </row>
    <row r="1378" spans="6:7" x14ac:dyDescent="0.3">
      <c r="F1378" s="5"/>
      <c r="G1378" s="5"/>
    </row>
    <row r="1379" spans="6:7" x14ac:dyDescent="0.3">
      <c r="F1379" s="5"/>
      <c r="G1379" s="5"/>
    </row>
    <row r="1380" spans="6:7" x14ac:dyDescent="0.3">
      <c r="F1380" s="5"/>
      <c r="G1380" s="5"/>
    </row>
    <row r="1381" spans="6:7" x14ac:dyDescent="0.3">
      <c r="F1381" s="5"/>
      <c r="G1381" s="5"/>
    </row>
    <row r="1382" spans="6:7" x14ac:dyDescent="0.3">
      <c r="F1382" s="5"/>
      <c r="G1382" s="5"/>
    </row>
    <row r="1383" spans="6:7" x14ac:dyDescent="0.3">
      <c r="F1383" s="5"/>
      <c r="G1383" s="5"/>
    </row>
    <row r="1384" spans="6:7" x14ac:dyDescent="0.3">
      <c r="F1384" s="5"/>
      <c r="G1384" s="5"/>
    </row>
    <row r="1385" spans="6:7" x14ac:dyDescent="0.3">
      <c r="F1385" s="5"/>
      <c r="G1385" s="5"/>
    </row>
    <row r="1386" spans="6:7" x14ac:dyDescent="0.3">
      <c r="F1386" s="5"/>
      <c r="G1386" s="5"/>
    </row>
    <row r="1387" spans="6:7" x14ac:dyDescent="0.3">
      <c r="F1387" s="5"/>
      <c r="G1387" s="5"/>
    </row>
    <row r="1388" spans="6:7" x14ac:dyDescent="0.3">
      <c r="F1388" s="5"/>
      <c r="G1388" s="5"/>
    </row>
    <row r="1389" spans="6:7" x14ac:dyDescent="0.3">
      <c r="F1389" s="5"/>
      <c r="G1389" s="5"/>
    </row>
    <row r="1390" spans="6:7" x14ac:dyDescent="0.3">
      <c r="F1390" s="5"/>
      <c r="G1390" s="5"/>
    </row>
    <row r="1391" spans="6:7" x14ac:dyDescent="0.3">
      <c r="F1391" s="5"/>
      <c r="G1391" s="5"/>
    </row>
    <row r="1392" spans="6:7" x14ac:dyDescent="0.3">
      <c r="F1392" s="5"/>
      <c r="G1392" s="5"/>
    </row>
    <row r="1393" spans="6:7" x14ac:dyDescent="0.3">
      <c r="F1393" s="5"/>
      <c r="G1393" s="5"/>
    </row>
    <row r="1394" spans="6:7" x14ac:dyDescent="0.3">
      <c r="F1394" s="5"/>
      <c r="G1394" s="5"/>
    </row>
    <row r="1395" spans="6:7" x14ac:dyDescent="0.3">
      <c r="F1395" s="5"/>
      <c r="G1395" s="5"/>
    </row>
    <row r="1396" spans="6:7" x14ac:dyDescent="0.3">
      <c r="F1396" s="5"/>
      <c r="G1396" s="5"/>
    </row>
    <row r="1397" spans="6:7" x14ac:dyDescent="0.3">
      <c r="F1397" s="5"/>
      <c r="G1397" s="5"/>
    </row>
    <row r="1398" spans="6:7" x14ac:dyDescent="0.3">
      <c r="F1398" s="5"/>
      <c r="G1398" s="5"/>
    </row>
    <row r="1399" spans="6:7" x14ac:dyDescent="0.3">
      <c r="F1399" s="5"/>
      <c r="G1399" s="5"/>
    </row>
    <row r="1400" spans="6:7" x14ac:dyDescent="0.3">
      <c r="F1400" s="5"/>
      <c r="G1400" s="5"/>
    </row>
    <row r="1401" spans="6:7" x14ac:dyDescent="0.3">
      <c r="F1401" s="5"/>
      <c r="G1401" s="5"/>
    </row>
    <row r="1402" spans="6:7" x14ac:dyDescent="0.3">
      <c r="F1402" s="5"/>
      <c r="G1402" s="5"/>
    </row>
    <row r="1403" spans="6:7" x14ac:dyDescent="0.3">
      <c r="F1403" s="5"/>
      <c r="G1403" s="5"/>
    </row>
    <row r="1404" spans="6:7" x14ac:dyDescent="0.3">
      <c r="F1404" s="5"/>
      <c r="G1404" s="5"/>
    </row>
    <row r="1405" spans="6:7" x14ac:dyDescent="0.3">
      <c r="F1405" s="5"/>
      <c r="G1405" s="5"/>
    </row>
    <row r="1406" spans="6:7" x14ac:dyDescent="0.3">
      <c r="F1406" s="5"/>
      <c r="G1406" s="5"/>
    </row>
    <row r="1407" spans="6:7" x14ac:dyDescent="0.3">
      <c r="F1407" s="5"/>
      <c r="G1407" s="5"/>
    </row>
    <row r="1408" spans="6:7" x14ac:dyDescent="0.3">
      <c r="F1408" s="5"/>
      <c r="G1408" s="5"/>
    </row>
    <row r="1409" spans="6:7" x14ac:dyDescent="0.3">
      <c r="F1409" s="5"/>
      <c r="G1409" s="5"/>
    </row>
    <row r="1410" spans="6:7" x14ac:dyDescent="0.3">
      <c r="F1410" s="5"/>
      <c r="G1410" s="5"/>
    </row>
    <row r="1411" spans="6:7" x14ac:dyDescent="0.3">
      <c r="F1411" s="5"/>
      <c r="G1411" s="5"/>
    </row>
    <row r="1412" spans="6:7" x14ac:dyDescent="0.3">
      <c r="F1412" s="5"/>
      <c r="G1412" s="5"/>
    </row>
    <row r="1413" spans="6:7" x14ac:dyDescent="0.3">
      <c r="F1413" s="5"/>
      <c r="G1413" s="5"/>
    </row>
    <row r="1414" spans="6:7" x14ac:dyDescent="0.3">
      <c r="F1414" s="5"/>
      <c r="G1414" s="5"/>
    </row>
    <row r="1415" spans="6:7" x14ac:dyDescent="0.3">
      <c r="F1415" s="5"/>
      <c r="G1415" s="5"/>
    </row>
    <row r="1416" spans="6:7" x14ac:dyDescent="0.3">
      <c r="F1416" s="5"/>
      <c r="G1416" s="5"/>
    </row>
    <row r="1417" spans="6:7" x14ac:dyDescent="0.3">
      <c r="F1417" s="5"/>
      <c r="G1417" s="5"/>
    </row>
    <row r="1418" spans="6:7" x14ac:dyDescent="0.3">
      <c r="F1418" s="5"/>
      <c r="G1418" s="5"/>
    </row>
    <row r="1419" spans="6:7" x14ac:dyDescent="0.3">
      <c r="F1419" s="5"/>
      <c r="G1419" s="5"/>
    </row>
    <row r="1420" spans="6:7" x14ac:dyDescent="0.3">
      <c r="F1420" s="5"/>
      <c r="G1420" s="5"/>
    </row>
    <row r="1421" spans="6:7" x14ac:dyDescent="0.3">
      <c r="F1421" s="5"/>
      <c r="G1421" s="5"/>
    </row>
    <row r="1422" spans="6:7" x14ac:dyDescent="0.3">
      <c r="F1422" s="5"/>
      <c r="G1422" s="5"/>
    </row>
    <row r="1423" spans="6:7" x14ac:dyDescent="0.3">
      <c r="F1423" s="5"/>
      <c r="G1423" s="5"/>
    </row>
    <row r="1424" spans="6:7" x14ac:dyDescent="0.3">
      <c r="F1424" s="5"/>
      <c r="G1424" s="5"/>
    </row>
    <row r="1425" spans="6:7" x14ac:dyDescent="0.3">
      <c r="F1425" s="5"/>
      <c r="G1425" s="5"/>
    </row>
    <row r="1426" spans="6:7" x14ac:dyDescent="0.3">
      <c r="F1426" s="5"/>
      <c r="G1426" s="5"/>
    </row>
    <row r="1427" spans="6:7" x14ac:dyDescent="0.3">
      <c r="F1427" s="5"/>
      <c r="G1427" s="5"/>
    </row>
    <row r="1428" spans="6:7" x14ac:dyDescent="0.3">
      <c r="F1428" s="5"/>
      <c r="G1428" s="5"/>
    </row>
    <row r="1429" spans="6:7" x14ac:dyDescent="0.3">
      <c r="F1429" s="5"/>
      <c r="G1429" s="5"/>
    </row>
    <row r="1430" spans="6:7" x14ac:dyDescent="0.3">
      <c r="F1430" s="5"/>
      <c r="G1430" s="5"/>
    </row>
    <row r="1431" spans="6:7" x14ac:dyDescent="0.3">
      <c r="F1431" s="5"/>
      <c r="G1431" s="5"/>
    </row>
    <row r="1432" spans="6:7" x14ac:dyDescent="0.3">
      <c r="F1432" s="5"/>
      <c r="G1432" s="5"/>
    </row>
    <row r="1433" spans="6:7" x14ac:dyDescent="0.3">
      <c r="F1433" s="5"/>
      <c r="G1433" s="5"/>
    </row>
    <row r="1434" spans="6:7" x14ac:dyDescent="0.3">
      <c r="F1434" s="5"/>
      <c r="G1434" s="5"/>
    </row>
    <row r="1435" spans="6:7" x14ac:dyDescent="0.3">
      <c r="F1435" s="5"/>
      <c r="G1435" s="5"/>
    </row>
    <row r="1436" spans="6:7" x14ac:dyDescent="0.3">
      <c r="F1436" s="5"/>
      <c r="G1436" s="5"/>
    </row>
    <row r="1437" spans="6:7" x14ac:dyDescent="0.3">
      <c r="F1437" s="5"/>
      <c r="G1437" s="5"/>
    </row>
    <row r="1438" spans="6:7" x14ac:dyDescent="0.3">
      <c r="F1438" s="5"/>
      <c r="G1438" s="5"/>
    </row>
    <row r="1439" spans="6:7" x14ac:dyDescent="0.3">
      <c r="F1439" s="5"/>
      <c r="G1439" s="5"/>
    </row>
    <row r="1440" spans="6:7" x14ac:dyDescent="0.3">
      <c r="F1440" s="5"/>
      <c r="G1440" s="5"/>
    </row>
    <row r="1441" spans="6:7" x14ac:dyDescent="0.3">
      <c r="F1441" s="5"/>
      <c r="G1441" s="5"/>
    </row>
    <row r="1442" spans="6:7" x14ac:dyDescent="0.3">
      <c r="F1442" s="5"/>
      <c r="G1442" s="5"/>
    </row>
    <row r="1443" spans="6:7" x14ac:dyDescent="0.3">
      <c r="F1443" s="5"/>
      <c r="G1443" s="5"/>
    </row>
    <row r="1444" spans="6:7" x14ac:dyDescent="0.3">
      <c r="F1444" s="5"/>
      <c r="G1444" s="5"/>
    </row>
    <row r="1445" spans="6:7" x14ac:dyDescent="0.3">
      <c r="F1445" s="5"/>
      <c r="G1445" s="5"/>
    </row>
    <row r="1446" spans="6:7" x14ac:dyDescent="0.3">
      <c r="F1446" s="5"/>
      <c r="G1446" s="5"/>
    </row>
    <row r="1447" spans="6:7" x14ac:dyDescent="0.3">
      <c r="F1447" s="5"/>
      <c r="G1447" s="5"/>
    </row>
    <row r="1448" spans="6:7" x14ac:dyDescent="0.3">
      <c r="F1448" s="5"/>
      <c r="G1448" s="5"/>
    </row>
    <row r="1449" spans="6:7" x14ac:dyDescent="0.3">
      <c r="F1449" s="5"/>
      <c r="G1449" s="5"/>
    </row>
    <row r="1450" spans="6:7" x14ac:dyDescent="0.3">
      <c r="F1450" s="5"/>
      <c r="G1450" s="5"/>
    </row>
    <row r="1451" spans="6:7" x14ac:dyDescent="0.3">
      <c r="F1451" s="5"/>
      <c r="G1451" s="5"/>
    </row>
    <row r="1452" spans="6:7" x14ac:dyDescent="0.3">
      <c r="F1452" s="5"/>
      <c r="G1452" s="5"/>
    </row>
    <row r="1453" spans="6:7" x14ac:dyDescent="0.3">
      <c r="F1453" s="5"/>
      <c r="G1453" s="5"/>
    </row>
    <row r="1454" spans="6:7" x14ac:dyDescent="0.3">
      <c r="F1454" s="5"/>
      <c r="G1454" s="5"/>
    </row>
    <row r="1455" spans="6:7" x14ac:dyDescent="0.3">
      <c r="F1455" s="5"/>
      <c r="G1455" s="5"/>
    </row>
    <row r="1456" spans="6:7" x14ac:dyDescent="0.3">
      <c r="F1456" s="5"/>
      <c r="G1456" s="5"/>
    </row>
    <row r="1457" spans="6:7" x14ac:dyDescent="0.3">
      <c r="F1457" s="5"/>
      <c r="G1457" s="5"/>
    </row>
    <row r="1458" spans="6:7" x14ac:dyDescent="0.3">
      <c r="F1458" s="5"/>
      <c r="G1458" s="5"/>
    </row>
    <row r="1459" spans="6:7" x14ac:dyDescent="0.3">
      <c r="F1459" s="5"/>
      <c r="G1459" s="5"/>
    </row>
    <row r="1460" spans="6:7" x14ac:dyDescent="0.3">
      <c r="F1460" s="5"/>
      <c r="G1460" s="5"/>
    </row>
    <row r="1461" spans="6:7" x14ac:dyDescent="0.3">
      <c r="F1461" s="5"/>
      <c r="G1461" s="5"/>
    </row>
    <row r="1462" spans="6:7" x14ac:dyDescent="0.3">
      <c r="F1462" s="5"/>
      <c r="G1462" s="5"/>
    </row>
    <row r="1463" spans="6:7" x14ac:dyDescent="0.3">
      <c r="F1463" s="5"/>
      <c r="G1463" s="5"/>
    </row>
    <row r="1464" spans="6:7" x14ac:dyDescent="0.3">
      <c r="F1464" s="5"/>
      <c r="G1464" s="5"/>
    </row>
    <row r="1465" spans="6:7" x14ac:dyDescent="0.3">
      <c r="F1465" s="5"/>
      <c r="G1465" s="5"/>
    </row>
    <row r="1466" spans="6:7" x14ac:dyDescent="0.3">
      <c r="F1466" s="5"/>
      <c r="G1466" s="5"/>
    </row>
    <row r="1467" spans="6:7" x14ac:dyDescent="0.3">
      <c r="F1467" s="5"/>
      <c r="G1467" s="5"/>
    </row>
    <row r="1468" spans="6:7" x14ac:dyDescent="0.3">
      <c r="F1468" s="5"/>
      <c r="G1468" s="5"/>
    </row>
    <row r="1469" spans="6:7" x14ac:dyDescent="0.3">
      <c r="F1469" s="5"/>
      <c r="G1469" s="5"/>
    </row>
    <row r="1470" spans="6:7" x14ac:dyDescent="0.3">
      <c r="F1470" s="5"/>
      <c r="G1470" s="5"/>
    </row>
    <row r="1471" spans="6:7" x14ac:dyDescent="0.3">
      <c r="F1471" s="5"/>
      <c r="G1471" s="5"/>
    </row>
    <row r="1472" spans="6:7" x14ac:dyDescent="0.3">
      <c r="F1472" s="5"/>
      <c r="G1472" s="5"/>
    </row>
    <row r="1473" spans="6:7" x14ac:dyDescent="0.3">
      <c r="F1473" s="5"/>
      <c r="G1473" s="5"/>
    </row>
    <row r="1474" spans="6:7" x14ac:dyDescent="0.3">
      <c r="F1474" s="5"/>
      <c r="G1474" s="5"/>
    </row>
    <row r="1475" spans="6:7" x14ac:dyDescent="0.3">
      <c r="F1475" s="5"/>
      <c r="G1475" s="5"/>
    </row>
    <row r="1476" spans="6:7" x14ac:dyDescent="0.3">
      <c r="F1476" s="5"/>
      <c r="G1476" s="5"/>
    </row>
    <row r="1477" spans="6:7" x14ac:dyDescent="0.3">
      <c r="F1477" s="5"/>
      <c r="G1477" s="5"/>
    </row>
    <row r="1478" spans="6:7" x14ac:dyDescent="0.3">
      <c r="F1478" s="5"/>
      <c r="G1478" s="5"/>
    </row>
    <row r="1479" spans="6:7" x14ac:dyDescent="0.3">
      <c r="F1479" s="5"/>
      <c r="G1479" s="5"/>
    </row>
    <row r="1480" spans="6:7" x14ac:dyDescent="0.3">
      <c r="F1480" s="5"/>
      <c r="G1480" s="5"/>
    </row>
    <row r="1481" spans="6:7" x14ac:dyDescent="0.3">
      <c r="F1481" s="5"/>
      <c r="G1481" s="5"/>
    </row>
    <row r="1482" spans="6:7" x14ac:dyDescent="0.3">
      <c r="F1482" s="5"/>
      <c r="G1482" s="5"/>
    </row>
    <row r="1483" spans="6:7" x14ac:dyDescent="0.3">
      <c r="F1483" s="5"/>
      <c r="G1483" s="5"/>
    </row>
    <row r="1484" spans="6:7" x14ac:dyDescent="0.3">
      <c r="F1484" s="5"/>
      <c r="G1484" s="5"/>
    </row>
    <row r="1485" spans="6:7" x14ac:dyDescent="0.3">
      <c r="F1485" s="5"/>
      <c r="G1485" s="5"/>
    </row>
    <row r="1486" spans="6:7" x14ac:dyDescent="0.3">
      <c r="F1486" s="5"/>
      <c r="G1486" s="5"/>
    </row>
    <row r="1487" spans="6:7" x14ac:dyDescent="0.3">
      <c r="F1487" s="5"/>
      <c r="G1487" s="5"/>
    </row>
    <row r="1488" spans="6:7" x14ac:dyDescent="0.3">
      <c r="F1488" s="5"/>
      <c r="G1488" s="5"/>
    </row>
    <row r="1489" spans="6:7" x14ac:dyDescent="0.3">
      <c r="F1489" s="5"/>
      <c r="G1489" s="5"/>
    </row>
    <row r="1490" spans="6:7" x14ac:dyDescent="0.3">
      <c r="F1490" s="5"/>
      <c r="G1490" s="5"/>
    </row>
    <row r="1491" spans="6:7" x14ac:dyDescent="0.3">
      <c r="F1491" s="5"/>
      <c r="G1491" s="5"/>
    </row>
    <row r="1492" spans="6:7" x14ac:dyDescent="0.3">
      <c r="F1492" s="5"/>
      <c r="G1492" s="5"/>
    </row>
    <row r="1493" spans="6:7" x14ac:dyDescent="0.3">
      <c r="F1493" s="5"/>
      <c r="G1493" s="5"/>
    </row>
    <row r="1494" spans="6:7" x14ac:dyDescent="0.3">
      <c r="F1494" s="5"/>
      <c r="G1494" s="5"/>
    </row>
    <row r="1495" spans="6:7" x14ac:dyDescent="0.3">
      <c r="F1495" s="5"/>
      <c r="G1495" s="5"/>
    </row>
    <row r="1496" spans="6:7" x14ac:dyDescent="0.3">
      <c r="F1496" s="5"/>
      <c r="G1496" s="5"/>
    </row>
    <row r="1497" spans="6:7" x14ac:dyDescent="0.3">
      <c r="F1497" s="5"/>
      <c r="G1497" s="5"/>
    </row>
    <row r="1498" spans="6:7" x14ac:dyDescent="0.3">
      <c r="F1498" s="5"/>
      <c r="G1498" s="5"/>
    </row>
    <row r="1499" spans="6:7" x14ac:dyDescent="0.3">
      <c r="F1499" s="5"/>
      <c r="G1499" s="5"/>
    </row>
    <row r="1500" spans="6:7" x14ac:dyDescent="0.3">
      <c r="F1500" s="5"/>
      <c r="G1500" s="5"/>
    </row>
    <row r="1501" spans="6:7" x14ac:dyDescent="0.3">
      <c r="F1501" s="5"/>
      <c r="G1501" s="5"/>
    </row>
    <row r="1502" spans="6:7" x14ac:dyDescent="0.3">
      <c r="F1502" s="5"/>
      <c r="G1502" s="5"/>
    </row>
    <row r="1503" spans="6:7" x14ac:dyDescent="0.3">
      <c r="F1503" s="5"/>
      <c r="G1503" s="5"/>
    </row>
    <row r="1504" spans="6:7" x14ac:dyDescent="0.3">
      <c r="F1504" s="5"/>
      <c r="G1504" s="5"/>
    </row>
    <row r="1505" spans="6:7" x14ac:dyDescent="0.3">
      <c r="F1505" s="5"/>
      <c r="G1505" s="5"/>
    </row>
    <row r="1506" spans="6:7" x14ac:dyDescent="0.3">
      <c r="F1506" s="5"/>
      <c r="G1506" s="5"/>
    </row>
    <row r="1507" spans="6:7" x14ac:dyDescent="0.3">
      <c r="F1507" s="5"/>
      <c r="G1507" s="5"/>
    </row>
    <row r="1508" spans="6:7" x14ac:dyDescent="0.3">
      <c r="F1508" s="5"/>
      <c r="G1508" s="5"/>
    </row>
    <row r="1509" spans="6:7" x14ac:dyDescent="0.3">
      <c r="F1509" s="5"/>
      <c r="G1509" s="5"/>
    </row>
    <row r="1510" spans="6:7" x14ac:dyDescent="0.3">
      <c r="F1510" s="5"/>
      <c r="G1510" s="5"/>
    </row>
    <row r="1511" spans="6:7" x14ac:dyDescent="0.3">
      <c r="F1511" s="5"/>
      <c r="G1511" s="5"/>
    </row>
    <row r="1512" spans="6:7" x14ac:dyDescent="0.3">
      <c r="F1512" s="5"/>
      <c r="G1512" s="5"/>
    </row>
    <row r="1513" spans="6:7" x14ac:dyDescent="0.3">
      <c r="F1513" s="5"/>
      <c r="G1513" s="5"/>
    </row>
    <row r="1514" spans="6:7" x14ac:dyDescent="0.3">
      <c r="F1514" s="5"/>
      <c r="G1514" s="5"/>
    </row>
    <row r="1515" spans="6:7" x14ac:dyDescent="0.3">
      <c r="F1515" s="5"/>
      <c r="G1515" s="5"/>
    </row>
    <row r="1516" spans="6:7" x14ac:dyDescent="0.3">
      <c r="F1516" s="5"/>
      <c r="G1516" s="5"/>
    </row>
    <row r="1517" spans="6:7" x14ac:dyDescent="0.3">
      <c r="F1517" s="5"/>
      <c r="G1517" s="5"/>
    </row>
    <row r="1518" spans="6:7" x14ac:dyDescent="0.3">
      <c r="F1518" s="5"/>
      <c r="G1518" s="5"/>
    </row>
    <row r="1519" spans="6:7" x14ac:dyDescent="0.3">
      <c r="F1519" s="5"/>
      <c r="G1519" s="5"/>
    </row>
    <row r="1520" spans="6:7" x14ac:dyDescent="0.3">
      <c r="F1520" s="5"/>
      <c r="G1520" s="5"/>
    </row>
    <row r="1521" spans="6:7" x14ac:dyDescent="0.3">
      <c r="F1521" s="5"/>
      <c r="G1521" s="5"/>
    </row>
    <row r="1522" spans="6:7" x14ac:dyDescent="0.3">
      <c r="F1522" s="5"/>
      <c r="G1522" s="5"/>
    </row>
    <row r="1523" spans="6:7" x14ac:dyDescent="0.3">
      <c r="F1523" s="5"/>
      <c r="G1523" s="5"/>
    </row>
    <row r="1524" spans="6:7" x14ac:dyDescent="0.3">
      <c r="F1524" s="5"/>
      <c r="G1524" s="5"/>
    </row>
    <row r="1525" spans="6:7" x14ac:dyDescent="0.3">
      <c r="F1525" s="5"/>
      <c r="G1525" s="5"/>
    </row>
    <row r="1526" spans="6:7" x14ac:dyDescent="0.3">
      <c r="F1526" s="5"/>
      <c r="G1526" s="5"/>
    </row>
    <row r="1527" spans="6:7" x14ac:dyDescent="0.3">
      <c r="F1527" s="5"/>
      <c r="G1527" s="5"/>
    </row>
    <row r="1528" spans="6:7" x14ac:dyDescent="0.3">
      <c r="F1528" s="5"/>
      <c r="G1528" s="5"/>
    </row>
    <row r="1529" spans="6:7" x14ac:dyDescent="0.3">
      <c r="F1529" s="5"/>
      <c r="G1529" s="5"/>
    </row>
    <row r="1530" spans="6:7" x14ac:dyDescent="0.3">
      <c r="F1530" s="5"/>
      <c r="G1530" s="5"/>
    </row>
    <row r="1531" spans="6:7" x14ac:dyDescent="0.3">
      <c r="F1531" s="5"/>
      <c r="G1531" s="5"/>
    </row>
    <row r="1532" spans="6:7" x14ac:dyDescent="0.3">
      <c r="F1532" s="5"/>
      <c r="G1532" s="5"/>
    </row>
    <row r="1533" spans="6:7" x14ac:dyDescent="0.3">
      <c r="F1533" s="5"/>
      <c r="G1533" s="5"/>
    </row>
    <row r="1534" spans="6:7" x14ac:dyDescent="0.3">
      <c r="F1534" s="5"/>
      <c r="G1534" s="5"/>
    </row>
    <row r="1535" spans="6:7" x14ac:dyDescent="0.3">
      <c r="F1535" s="5"/>
      <c r="G1535" s="5"/>
    </row>
    <row r="1536" spans="6:7" x14ac:dyDescent="0.3">
      <c r="F1536" s="5"/>
      <c r="G1536" s="5"/>
    </row>
    <row r="1537" spans="6:7" x14ac:dyDescent="0.3">
      <c r="F1537" s="5"/>
      <c r="G1537" s="5"/>
    </row>
    <row r="1538" spans="6:7" x14ac:dyDescent="0.3">
      <c r="F1538" s="5"/>
      <c r="G1538" s="5"/>
    </row>
    <row r="1539" spans="6:7" x14ac:dyDescent="0.3">
      <c r="F1539" s="5"/>
      <c r="G1539" s="5"/>
    </row>
    <row r="1540" spans="6:7" x14ac:dyDescent="0.3">
      <c r="F1540" s="5"/>
      <c r="G1540" s="5"/>
    </row>
    <row r="1541" spans="6:7" x14ac:dyDescent="0.3">
      <c r="F1541" s="5"/>
      <c r="G1541" s="5"/>
    </row>
    <row r="1542" spans="6:7" x14ac:dyDescent="0.3">
      <c r="F1542" s="5"/>
      <c r="G1542" s="5"/>
    </row>
    <row r="1543" spans="6:7" x14ac:dyDescent="0.3">
      <c r="F1543" s="5"/>
      <c r="G1543" s="5"/>
    </row>
    <row r="1544" spans="6:7" x14ac:dyDescent="0.3">
      <c r="F1544" s="5"/>
      <c r="G1544" s="5"/>
    </row>
    <row r="1545" spans="6:7" x14ac:dyDescent="0.3">
      <c r="F1545" s="5"/>
      <c r="G1545" s="5"/>
    </row>
    <row r="1546" spans="6:7" x14ac:dyDescent="0.3">
      <c r="F1546" s="5"/>
      <c r="G1546" s="5"/>
    </row>
    <row r="1547" spans="6:7" x14ac:dyDescent="0.3">
      <c r="F1547" s="5"/>
      <c r="G1547" s="5"/>
    </row>
    <row r="1548" spans="6:7" x14ac:dyDescent="0.3">
      <c r="F1548" s="5"/>
      <c r="G1548" s="5"/>
    </row>
    <row r="1549" spans="6:7" x14ac:dyDescent="0.3">
      <c r="F1549" s="5"/>
      <c r="G1549" s="5"/>
    </row>
    <row r="1550" spans="6:7" x14ac:dyDescent="0.3">
      <c r="F1550" s="5"/>
      <c r="G1550" s="5"/>
    </row>
    <row r="1551" spans="6:7" x14ac:dyDescent="0.3">
      <c r="F1551" s="5"/>
      <c r="G1551" s="5"/>
    </row>
    <row r="1552" spans="6:7" x14ac:dyDescent="0.3">
      <c r="F1552" s="5"/>
      <c r="G1552" s="5"/>
    </row>
    <row r="1553" spans="6:7" x14ac:dyDescent="0.3">
      <c r="F1553" s="5"/>
      <c r="G1553" s="5"/>
    </row>
    <row r="1554" spans="6:7" x14ac:dyDescent="0.3">
      <c r="F1554" s="5"/>
      <c r="G1554" s="5"/>
    </row>
    <row r="1555" spans="6:7" x14ac:dyDescent="0.3">
      <c r="F1555" s="5"/>
      <c r="G1555" s="5"/>
    </row>
    <row r="1556" spans="6:7" x14ac:dyDescent="0.3">
      <c r="F1556" s="5"/>
      <c r="G1556" s="5"/>
    </row>
    <row r="1557" spans="6:7" x14ac:dyDescent="0.3">
      <c r="F1557" s="5"/>
      <c r="G1557" s="5"/>
    </row>
    <row r="1558" spans="6:7" x14ac:dyDescent="0.3">
      <c r="F1558" s="5"/>
      <c r="G1558" s="5"/>
    </row>
    <row r="1559" spans="6:7" x14ac:dyDescent="0.3">
      <c r="F1559" s="5"/>
      <c r="G1559" s="5"/>
    </row>
    <row r="1560" spans="6:7" x14ac:dyDescent="0.3">
      <c r="F1560" s="5"/>
      <c r="G1560" s="5"/>
    </row>
    <row r="1561" spans="6:7" x14ac:dyDescent="0.3">
      <c r="F1561" s="5"/>
      <c r="G1561" s="5"/>
    </row>
    <row r="1562" spans="6:7" x14ac:dyDescent="0.3">
      <c r="F1562" s="5"/>
      <c r="G1562" s="5"/>
    </row>
    <row r="1563" spans="6:7" x14ac:dyDescent="0.3">
      <c r="F1563" s="5"/>
      <c r="G1563" s="5"/>
    </row>
    <row r="1564" spans="6:7" x14ac:dyDescent="0.3">
      <c r="F1564" s="5"/>
      <c r="G1564" s="5"/>
    </row>
    <row r="1565" spans="6:7" x14ac:dyDescent="0.3">
      <c r="F1565" s="5"/>
      <c r="G1565" s="5"/>
    </row>
    <row r="1566" spans="6:7" x14ac:dyDescent="0.3">
      <c r="F1566" s="5"/>
      <c r="G1566" s="5"/>
    </row>
    <row r="1567" spans="6:7" x14ac:dyDescent="0.3">
      <c r="F1567" s="5"/>
      <c r="G1567" s="5"/>
    </row>
    <row r="1568" spans="6:7" x14ac:dyDescent="0.3">
      <c r="F1568" s="5"/>
      <c r="G1568" s="5"/>
    </row>
    <row r="1569" spans="6:7" x14ac:dyDescent="0.3">
      <c r="F1569" s="5"/>
      <c r="G1569" s="5"/>
    </row>
    <row r="1570" spans="6:7" x14ac:dyDescent="0.3">
      <c r="F1570" s="5"/>
      <c r="G1570" s="5"/>
    </row>
    <row r="1571" spans="6:7" x14ac:dyDescent="0.3">
      <c r="F1571" s="5"/>
      <c r="G1571" s="5"/>
    </row>
    <row r="1572" spans="6:7" x14ac:dyDescent="0.3">
      <c r="F1572" s="5"/>
      <c r="G1572" s="5"/>
    </row>
    <row r="1573" spans="6:7" x14ac:dyDescent="0.3">
      <c r="F1573" s="5"/>
      <c r="G1573" s="5"/>
    </row>
    <row r="1574" spans="6:7" x14ac:dyDescent="0.3">
      <c r="F1574" s="5"/>
      <c r="G1574" s="5"/>
    </row>
    <row r="1575" spans="6:7" x14ac:dyDescent="0.3">
      <c r="F1575" s="5"/>
      <c r="G1575" s="5"/>
    </row>
    <row r="1576" spans="6:7" x14ac:dyDescent="0.3">
      <c r="F1576" s="5"/>
      <c r="G1576" s="5"/>
    </row>
    <row r="1577" spans="6:7" x14ac:dyDescent="0.3">
      <c r="F1577" s="5"/>
      <c r="G1577" s="5"/>
    </row>
    <row r="1578" spans="6:7" x14ac:dyDescent="0.3">
      <c r="F1578" s="5"/>
      <c r="G1578" s="5"/>
    </row>
    <row r="1579" spans="6:7" x14ac:dyDescent="0.3">
      <c r="F1579" s="5"/>
      <c r="G1579" s="5"/>
    </row>
    <row r="1580" spans="6:7" x14ac:dyDescent="0.3">
      <c r="F1580" s="5"/>
      <c r="G1580" s="5"/>
    </row>
    <row r="1581" spans="6:7" x14ac:dyDescent="0.3">
      <c r="F1581" s="5"/>
      <c r="G1581" s="5"/>
    </row>
    <row r="1582" spans="6:7" x14ac:dyDescent="0.3">
      <c r="F1582" s="5"/>
      <c r="G1582" s="5"/>
    </row>
    <row r="1583" spans="6:7" x14ac:dyDescent="0.3">
      <c r="F1583" s="5"/>
      <c r="G1583" s="5"/>
    </row>
    <row r="1584" spans="6:7" x14ac:dyDescent="0.3">
      <c r="F1584" s="5"/>
      <c r="G1584" s="5"/>
    </row>
    <row r="1585" spans="6:7" x14ac:dyDescent="0.3">
      <c r="F1585" s="5"/>
      <c r="G1585" s="5"/>
    </row>
    <row r="1586" spans="6:7" x14ac:dyDescent="0.3">
      <c r="F1586" s="5"/>
      <c r="G1586" s="5"/>
    </row>
    <row r="1587" spans="6:7" x14ac:dyDescent="0.3">
      <c r="F1587" s="5"/>
      <c r="G1587" s="5"/>
    </row>
    <row r="1588" spans="6:7" x14ac:dyDescent="0.3">
      <c r="F1588" s="5"/>
      <c r="G1588" s="5"/>
    </row>
    <row r="1589" spans="6:7" x14ac:dyDescent="0.3">
      <c r="F1589" s="5"/>
      <c r="G1589" s="5"/>
    </row>
    <row r="1590" spans="6:7" x14ac:dyDescent="0.3">
      <c r="F1590" s="5"/>
      <c r="G1590" s="5"/>
    </row>
    <row r="1591" spans="6:7" x14ac:dyDescent="0.3">
      <c r="F1591" s="5"/>
      <c r="G1591" s="5"/>
    </row>
    <row r="1592" spans="6:7" x14ac:dyDescent="0.3">
      <c r="F1592" s="5"/>
      <c r="G1592" s="5"/>
    </row>
    <row r="1593" spans="6:7" x14ac:dyDescent="0.3">
      <c r="F1593" s="5"/>
      <c r="G1593" s="5"/>
    </row>
    <row r="1594" spans="6:7" x14ac:dyDescent="0.3">
      <c r="F1594" s="5"/>
      <c r="G1594" s="5"/>
    </row>
    <row r="1595" spans="6:7" x14ac:dyDescent="0.3">
      <c r="F1595" s="5"/>
      <c r="G1595" s="5"/>
    </row>
    <row r="1596" spans="6:7" x14ac:dyDescent="0.3">
      <c r="F1596" s="5"/>
      <c r="G1596" s="5"/>
    </row>
    <row r="1597" spans="6:7" x14ac:dyDescent="0.3">
      <c r="F1597" s="5"/>
      <c r="G1597" s="5"/>
    </row>
    <row r="1598" spans="6:7" x14ac:dyDescent="0.3">
      <c r="F1598" s="5"/>
      <c r="G1598" s="5"/>
    </row>
    <row r="1599" spans="6:7" x14ac:dyDescent="0.3">
      <c r="F1599" s="5"/>
      <c r="G1599" s="5"/>
    </row>
    <row r="1600" spans="6:7" x14ac:dyDescent="0.3">
      <c r="F1600" s="5"/>
      <c r="G1600" s="5"/>
    </row>
    <row r="1601" spans="6:7" x14ac:dyDescent="0.3">
      <c r="F1601" s="5"/>
      <c r="G1601" s="5"/>
    </row>
    <row r="1602" spans="6:7" x14ac:dyDescent="0.3">
      <c r="F1602" s="5"/>
      <c r="G1602" s="5"/>
    </row>
    <row r="1603" spans="6:7" x14ac:dyDescent="0.3">
      <c r="F1603" s="5"/>
      <c r="G1603" s="5"/>
    </row>
    <row r="1604" spans="6:7" x14ac:dyDescent="0.3">
      <c r="F1604" s="5"/>
      <c r="G1604" s="5"/>
    </row>
    <row r="1605" spans="6:7" x14ac:dyDescent="0.3">
      <c r="F1605" s="5"/>
      <c r="G1605" s="5"/>
    </row>
    <row r="1606" spans="6:7" x14ac:dyDescent="0.3">
      <c r="F1606" s="5"/>
      <c r="G1606" s="5"/>
    </row>
    <row r="1607" spans="6:7" x14ac:dyDescent="0.3">
      <c r="F1607" s="5"/>
      <c r="G1607" s="5"/>
    </row>
    <row r="1608" spans="6:7" x14ac:dyDescent="0.3">
      <c r="F1608" s="5"/>
      <c r="G1608" s="5"/>
    </row>
    <row r="1609" spans="6:7" x14ac:dyDescent="0.3">
      <c r="F1609" s="5"/>
      <c r="G1609" s="5"/>
    </row>
    <row r="1610" spans="6:7" x14ac:dyDescent="0.3">
      <c r="F1610" s="5"/>
      <c r="G1610" s="5"/>
    </row>
    <row r="1611" spans="6:7" x14ac:dyDescent="0.3">
      <c r="F1611" s="5"/>
      <c r="G1611" s="5"/>
    </row>
    <row r="1612" spans="6:7" x14ac:dyDescent="0.3">
      <c r="F1612" s="5"/>
      <c r="G1612" s="5"/>
    </row>
    <row r="1613" spans="6:7" x14ac:dyDescent="0.3">
      <c r="F1613" s="5"/>
      <c r="G1613" s="5"/>
    </row>
    <row r="1614" spans="6:7" x14ac:dyDescent="0.3">
      <c r="F1614" s="5"/>
      <c r="G1614" s="5"/>
    </row>
    <row r="1615" spans="6:7" x14ac:dyDescent="0.3">
      <c r="F1615" s="5"/>
      <c r="G1615" s="5"/>
    </row>
    <row r="1616" spans="6:7" x14ac:dyDescent="0.3">
      <c r="F1616" s="5"/>
      <c r="G1616" s="5"/>
    </row>
    <row r="1617" spans="6:7" x14ac:dyDescent="0.3">
      <c r="F1617" s="5"/>
      <c r="G1617" s="5"/>
    </row>
    <row r="1618" spans="6:7" x14ac:dyDescent="0.3">
      <c r="F1618" s="5"/>
      <c r="G1618" s="5"/>
    </row>
    <row r="1619" spans="6:7" x14ac:dyDescent="0.3">
      <c r="F1619" s="5"/>
      <c r="G1619" s="5"/>
    </row>
    <row r="1620" spans="6:7" x14ac:dyDescent="0.3">
      <c r="F1620" s="5"/>
      <c r="G1620" s="5"/>
    </row>
    <row r="1621" spans="6:7" x14ac:dyDescent="0.3">
      <c r="F1621" s="5"/>
      <c r="G1621" s="5"/>
    </row>
    <row r="1622" spans="6:7" x14ac:dyDescent="0.3">
      <c r="F1622" s="5"/>
      <c r="G1622" s="5"/>
    </row>
    <row r="1623" spans="6:7" x14ac:dyDescent="0.3">
      <c r="F1623" s="5"/>
      <c r="G1623" s="5"/>
    </row>
    <row r="1624" spans="6:7" x14ac:dyDescent="0.3">
      <c r="F1624" s="5"/>
      <c r="G1624" s="5"/>
    </row>
    <row r="1625" spans="6:7" x14ac:dyDescent="0.3">
      <c r="F1625" s="5"/>
      <c r="G1625" s="5"/>
    </row>
    <row r="1626" spans="6:7" x14ac:dyDescent="0.3">
      <c r="F1626" s="5"/>
      <c r="G1626" s="5"/>
    </row>
    <row r="1627" spans="6:7" x14ac:dyDescent="0.3">
      <c r="F1627" s="5"/>
      <c r="G1627" s="5"/>
    </row>
    <row r="1628" spans="6:7" x14ac:dyDescent="0.3">
      <c r="F1628" s="5"/>
      <c r="G1628" s="5"/>
    </row>
    <row r="1629" spans="6:7" x14ac:dyDescent="0.3">
      <c r="F1629" s="5"/>
      <c r="G1629" s="5"/>
    </row>
    <row r="1630" spans="6:7" x14ac:dyDescent="0.3">
      <c r="F1630" s="5"/>
      <c r="G1630" s="5"/>
    </row>
    <row r="1631" spans="6:7" x14ac:dyDescent="0.3">
      <c r="F1631" s="5"/>
      <c r="G1631" s="5"/>
    </row>
    <row r="1632" spans="6:7" x14ac:dyDescent="0.3">
      <c r="F1632" s="5"/>
      <c r="G1632" s="5"/>
    </row>
    <row r="1633" spans="6:7" x14ac:dyDescent="0.3">
      <c r="F1633" s="5"/>
      <c r="G1633" s="5"/>
    </row>
    <row r="1634" spans="6:7" x14ac:dyDescent="0.3">
      <c r="F1634" s="5"/>
      <c r="G1634" s="5"/>
    </row>
    <row r="1635" spans="6:7" x14ac:dyDescent="0.3">
      <c r="F1635" s="5"/>
      <c r="G1635" s="5"/>
    </row>
    <row r="1636" spans="6:7" x14ac:dyDescent="0.3">
      <c r="F1636" s="5"/>
      <c r="G1636" s="5"/>
    </row>
    <row r="1637" spans="6:7" x14ac:dyDescent="0.3">
      <c r="F1637" s="5"/>
      <c r="G1637" s="5"/>
    </row>
    <row r="1638" spans="6:7" x14ac:dyDescent="0.3">
      <c r="F1638" s="5"/>
      <c r="G1638" s="5"/>
    </row>
    <row r="1639" spans="6:7" x14ac:dyDescent="0.3">
      <c r="F1639" s="5"/>
      <c r="G1639" s="5"/>
    </row>
    <row r="1640" spans="6:7" x14ac:dyDescent="0.3">
      <c r="F1640" s="5"/>
      <c r="G1640" s="5"/>
    </row>
    <row r="1641" spans="6:7" x14ac:dyDescent="0.3">
      <c r="F1641" s="5"/>
      <c r="G1641" s="5"/>
    </row>
    <row r="1642" spans="6:7" x14ac:dyDescent="0.3">
      <c r="F1642" s="5"/>
      <c r="G1642" s="5"/>
    </row>
    <row r="1643" spans="6:7" x14ac:dyDescent="0.3">
      <c r="F1643" s="5"/>
      <c r="G1643" s="5"/>
    </row>
    <row r="1644" spans="6:7" x14ac:dyDescent="0.3">
      <c r="F1644" s="5"/>
      <c r="G1644" s="5"/>
    </row>
    <row r="1645" spans="6:7" x14ac:dyDescent="0.3">
      <c r="F1645" s="5"/>
      <c r="G1645" s="5"/>
    </row>
    <row r="1646" spans="6:7" x14ac:dyDescent="0.3">
      <c r="F1646" s="5"/>
      <c r="G1646" s="5"/>
    </row>
    <row r="1647" spans="6:7" x14ac:dyDescent="0.3">
      <c r="F1647" s="5"/>
      <c r="G1647" s="5"/>
    </row>
    <row r="1648" spans="6:7" x14ac:dyDescent="0.3">
      <c r="F1648" s="5"/>
      <c r="G1648" s="5"/>
    </row>
    <row r="1649" spans="6:7" x14ac:dyDescent="0.3">
      <c r="F1649" s="5"/>
      <c r="G1649" s="5"/>
    </row>
    <row r="1650" spans="6:7" x14ac:dyDescent="0.3">
      <c r="F1650" s="5"/>
      <c r="G1650" s="5"/>
    </row>
    <row r="1651" spans="6:7" x14ac:dyDescent="0.3">
      <c r="F1651" s="5"/>
      <c r="G1651" s="5"/>
    </row>
    <row r="1652" spans="6:7" x14ac:dyDescent="0.3">
      <c r="F1652" s="5"/>
      <c r="G1652" s="5"/>
    </row>
    <row r="1653" spans="6:7" x14ac:dyDescent="0.3">
      <c r="F1653" s="5"/>
      <c r="G1653" s="5"/>
    </row>
    <row r="1654" spans="6:7" x14ac:dyDescent="0.3">
      <c r="F1654" s="5"/>
      <c r="G1654" s="5"/>
    </row>
    <row r="1655" spans="6:7" x14ac:dyDescent="0.3">
      <c r="F1655" s="5"/>
      <c r="G1655" s="5"/>
    </row>
    <row r="1656" spans="6:7" x14ac:dyDescent="0.3">
      <c r="F1656" s="5"/>
      <c r="G1656" s="5"/>
    </row>
    <row r="1657" spans="6:7" x14ac:dyDescent="0.3">
      <c r="F1657" s="5"/>
      <c r="G1657" s="5"/>
    </row>
    <row r="1658" spans="6:7" x14ac:dyDescent="0.3">
      <c r="F1658" s="5"/>
      <c r="G1658" s="5"/>
    </row>
    <row r="1659" spans="6:7" x14ac:dyDescent="0.3">
      <c r="F1659" s="5"/>
      <c r="G1659" s="5"/>
    </row>
    <row r="1660" spans="6:7" x14ac:dyDescent="0.3">
      <c r="F1660" s="5"/>
      <c r="G1660" s="5"/>
    </row>
    <row r="1661" spans="6:7" x14ac:dyDescent="0.3">
      <c r="F1661" s="5"/>
      <c r="G1661" s="5"/>
    </row>
    <row r="1662" spans="6:7" x14ac:dyDescent="0.3">
      <c r="F1662" s="5"/>
      <c r="G1662" s="5"/>
    </row>
    <row r="1663" spans="6:7" x14ac:dyDescent="0.3">
      <c r="F1663" s="5"/>
      <c r="G1663" s="5"/>
    </row>
    <row r="1664" spans="6:7" x14ac:dyDescent="0.3">
      <c r="F1664" s="5"/>
      <c r="G1664" s="5"/>
    </row>
    <row r="1665" spans="6:7" x14ac:dyDescent="0.3">
      <c r="F1665" s="5"/>
      <c r="G1665" s="5"/>
    </row>
    <row r="1666" spans="6:7" x14ac:dyDescent="0.3">
      <c r="F1666" s="5"/>
      <c r="G1666" s="5"/>
    </row>
    <row r="1667" spans="6:7" x14ac:dyDescent="0.3">
      <c r="F1667" s="5"/>
      <c r="G1667" s="5"/>
    </row>
    <row r="1668" spans="6:7" x14ac:dyDescent="0.3">
      <c r="F1668" s="5"/>
      <c r="G1668" s="5"/>
    </row>
    <row r="1669" spans="6:7" x14ac:dyDescent="0.3">
      <c r="F1669" s="5"/>
      <c r="G1669" s="5"/>
    </row>
    <row r="1670" spans="6:7" x14ac:dyDescent="0.3">
      <c r="F1670" s="5"/>
      <c r="G1670" s="5"/>
    </row>
    <row r="1671" spans="6:7" x14ac:dyDescent="0.3">
      <c r="F1671" s="5"/>
      <c r="G1671" s="5"/>
    </row>
    <row r="1672" spans="6:7" x14ac:dyDescent="0.3">
      <c r="F1672" s="5"/>
      <c r="G1672" s="5"/>
    </row>
    <row r="1673" spans="6:7" x14ac:dyDescent="0.3">
      <c r="F1673" s="5"/>
      <c r="G1673" s="5"/>
    </row>
    <row r="1674" spans="6:7" x14ac:dyDescent="0.3">
      <c r="F1674" s="5"/>
      <c r="G1674" s="5"/>
    </row>
    <row r="1675" spans="6:7" x14ac:dyDescent="0.3">
      <c r="F1675" s="5"/>
      <c r="G1675" s="5"/>
    </row>
    <row r="1676" spans="6:7" x14ac:dyDescent="0.3">
      <c r="F1676" s="5"/>
      <c r="G1676" s="5"/>
    </row>
    <row r="1677" spans="6:7" x14ac:dyDescent="0.3">
      <c r="F1677" s="5"/>
      <c r="G1677" s="5"/>
    </row>
    <row r="1678" spans="6:7" x14ac:dyDescent="0.3">
      <c r="F1678" s="5"/>
      <c r="G1678" s="5"/>
    </row>
    <row r="1679" spans="6:7" x14ac:dyDescent="0.3">
      <c r="F1679" s="5"/>
      <c r="G1679" s="5"/>
    </row>
    <row r="1680" spans="6:7" x14ac:dyDescent="0.3">
      <c r="F1680" s="5"/>
      <c r="G1680" s="5"/>
    </row>
    <row r="1681" spans="6:7" x14ac:dyDescent="0.3">
      <c r="F1681" s="5"/>
      <c r="G1681" s="5"/>
    </row>
    <row r="1682" spans="6:7" x14ac:dyDescent="0.3">
      <c r="F1682" s="5"/>
      <c r="G1682" s="5"/>
    </row>
    <row r="1683" spans="6:7" x14ac:dyDescent="0.3">
      <c r="F1683" s="5"/>
      <c r="G1683" s="5"/>
    </row>
    <row r="1684" spans="6:7" x14ac:dyDescent="0.3">
      <c r="F1684" s="5"/>
      <c r="G1684" s="5"/>
    </row>
    <row r="1685" spans="6:7" x14ac:dyDescent="0.3">
      <c r="F1685" s="5"/>
      <c r="G1685" s="5"/>
    </row>
    <row r="1686" spans="6:7" x14ac:dyDescent="0.3">
      <c r="F1686" s="5"/>
      <c r="G1686" s="5"/>
    </row>
    <row r="1687" spans="6:7" x14ac:dyDescent="0.3">
      <c r="F1687" s="5"/>
      <c r="G1687" s="5"/>
    </row>
    <row r="1688" spans="6:7" x14ac:dyDescent="0.3">
      <c r="F1688" s="5"/>
      <c r="G1688" s="5"/>
    </row>
    <row r="1689" spans="6:7" x14ac:dyDescent="0.3">
      <c r="F1689" s="5"/>
      <c r="G1689" s="5"/>
    </row>
    <row r="1690" spans="6:7" x14ac:dyDescent="0.3">
      <c r="F1690" s="5"/>
      <c r="G1690" s="5"/>
    </row>
    <row r="1691" spans="6:7" x14ac:dyDescent="0.3">
      <c r="F1691" s="5"/>
      <c r="G1691" s="5"/>
    </row>
    <row r="1692" spans="6:7" x14ac:dyDescent="0.3">
      <c r="F1692" s="5"/>
      <c r="G1692" s="5"/>
    </row>
    <row r="1693" spans="6:7" x14ac:dyDescent="0.3">
      <c r="F1693" s="5"/>
      <c r="G1693" s="5"/>
    </row>
    <row r="1694" spans="6:7" x14ac:dyDescent="0.3">
      <c r="F1694" s="5"/>
      <c r="G1694" s="5"/>
    </row>
    <row r="1695" spans="6:7" x14ac:dyDescent="0.3">
      <c r="F1695" s="5"/>
      <c r="G1695" s="5"/>
    </row>
    <row r="1696" spans="6:7" x14ac:dyDescent="0.3">
      <c r="F1696" s="5"/>
      <c r="G1696" s="5"/>
    </row>
    <row r="1697" spans="6:7" x14ac:dyDescent="0.3">
      <c r="F1697" s="5"/>
      <c r="G1697" s="5"/>
    </row>
    <row r="1698" spans="6:7" x14ac:dyDescent="0.3">
      <c r="F1698" s="5"/>
      <c r="G1698" s="5"/>
    </row>
    <row r="1699" spans="6:7" x14ac:dyDescent="0.3">
      <c r="F1699" s="5"/>
      <c r="G1699" s="5"/>
    </row>
    <row r="1700" spans="6:7" x14ac:dyDescent="0.3">
      <c r="F1700" s="5"/>
      <c r="G1700" s="5"/>
    </row>
    <row r="1701" spans="6:7" x14ac:dyDescent="0.3">
      <c r="F1701" s="5"/>
      <c r="G1701" s="5"/>
    </row>
    <row r="1702" spans="6:7" x14ac:dyDescent="0.3">
      <c r="F1702" s="5"/>
      <c r="G1702" s="5"/>
    </row>
    <row r="1703" spans="6:7" x14ac:dyDescent="0.3">
      <c r="F1703" s="5"/>
      <c r="G1703" s="5"/>
    </row>
    <row r="1704" spans="6:7" x14ac:dyDescent="0.3">
      <c r="F1704" s="5"/>
      <c r="G1704" s="5"/>
    </row>
    <row r="1705" spans="6:7" x14ac:dyDescent="0.3">
      <c r="F1705" s="5"/>
      <c r="G1705" s="5"/>
    </row>
    <row r="1706" spans="6:7" x14ac:dyDescent="0.3">
      <c r="F1706" s="5"/>
      <c r="G1706" s="5"/>
    </row>
    <row r="1707" spans="6:7" x14ac:dyDescent="0.3">
      <c r="F1707" s="5"/>
      <c r="G1707" s="5"/>
    </row>
    <row r="1708" spans="6:7" x14ac:dyDescent="0.3">
      <c r="F1708" s="5"/>
      <c r="G1708" s="5"/>
    </row>
    <row r="1709" spans="6:7" x14ac:dyDescent="0.3">
      <c r="F1709" s="5"/>
      <c r="G1709" s="5"/>
    </row>
    <row r="1710" spans="6:7" x14ac:dyDescent="0.3">
      <c r="F1710" s="5"/>
      <c r="G1710" s="5"/>
    </row>
    <row r="1711" spans="6:7" x14ac:dyDescent="0.3">
      <c r="F1711" s="5"/>
      <c r="G1711" s="5"/>
    </row>
    <row r="1712" spans="6:7" x14ac:dyDescent="0.3">
      <c r="F1712" s="5"/>
      <c r="G1712" s="5"/>
    </row>
    <row r="1713" spans="6:7" x14ac:dyDescent="0.3">
      <c r="F1713" s="5"/>
      <c r="G1713" s="5"/>
    </row>
    <row r="1714" spans="6:7" x14ac:dyDescent="0.3">
      <c r="F1714" s="5"/>
      <c r="G1714" s="5"/>
    </row>
    <row r="1715" spans="6:7" x14ac:dyDescent="0.3">
      <c r="F1715" s="5"/>
      <c r="G1715" s="5"/>
    </row>
    <row r="1716" spans="6:7" x14ac:dyDescent="0.3">
      <c r="F1716" s="5"/>
      <c r="G1716" s="5"/>
    </row>
    <row r="1717" spans="6:7" x14ac:dyDescent="0.3">
      <c r="F1717" s="5"/>
      <c r="G1717" s="5"/>
    </row>
    <row r="1718" spans="6:7" x14ac:dyDescent="0.3">
      <c r="F1718" s="5"/>
      <c r="G1718" s="5"/>
    </row>
    <row r="1719" spans="6:7" x14ac:dyDescent="0.3">
      <c r="F1719" s="5"/>
      <c r="G1719" s="5"/>
    </row>
    <row r="1720" spans="6:7" x14ac:dyDescent="0.3">
      <c r="F1720" s="5"/>
      <c r="G1720" s="5"/>
    </row>
    <row r="1721" spans="6:7" x14ac:dyDescent="0.3">
      <c r="F1721" s="5"/>
      <c r="G1721" s="5"/>
    </row>
    <row r="1722" spans="6:7" x14ac:dyDescent="0.3">
      <c r="F1722" s="5"/>
      <c r="G1722" s="5"/>
    </row>
    <row r="1723" spans="6:7" x14ac:dyDescent="0.3">
      <c r="F1723" s="5"/>
      <c r="G1723" s="5"/>
    </row>
    <row r="1724" spans="6:7" x14ac:dyDescent="0.3">
      <c r="F1724" s="5"/>
      <c r="G1724" s="5"/>
    </row>
    <row r="1725" spans="6:7" x14ac:dyDescent="0.3">
      <c r="F1725" s="5"/>
      <c r="G1725" s="5"/>
    </row>
    <row r="1726" spans="6:7" x14ac:dyDescent="0.3">
      <c r="F1726" s="5"/>
      <c r="G1726" s="5"/>
    </row>
    <row r="1727" spans="6:7" x14ac:dyDescent="0.3">
      <c r="F1727" s="5"/>
      <c r="G1727" s="5"/>
    </row>
    <row r="1728" spans="6:7" x14ac:dyDescent="0.3">
      <c r="F1728" s="5"/>
      <c r="G1728" s="5"/>
    </row>
    <row r="1729" spans="6:7" x14ac:dyDescent="0.3">
      <c r="F1729" s="5"/>
      <c r="G1729" s="5"/>
    </row>
    <row r="1730" spans="6:7" x14ac:dyDescent="0.3">
      <c r="F1730" s="5"/>
      <c r="G1730" s="5"/>
    </row>
    <row r="1731" spans="6:7" x14ac:dyDescent="0.3">
      <c r="F1731" s="5"/>
      <c r="G1731" s="5"/>
    </row>
    <row r="1732" spans="6:7" x14ac:dyDescent="0.3">
      <c r="F1732" s="5"/>
      <c r="G1732" s="5"/>
    </row>
    <row r="1733" spans="6:7" x14ac:dyDescent="0.3">
      <c r="F1733" s="5"/>
      <c r="G1733" s="5"/>
    </row>
    <row r="1734" spans="6:7" x14ac:dyDescent="0.3">
      <c r="F1734" s="5"/>
      <c r="G1734" s="5"/>
    </row>
    <row r="1735" spans="6:7" x14ac:dyDescent="0.3">
      <c r="F1735" s="5"/>
      <c r="G1735" s="5"/>
    </row>
    <row r="1736" spans="6:7" x14ac:dyDescent="0.3">
      <c r="F1736" s="5"/>
      <c r="G1736" s="5"/>
    </row>
    <row r="1737" spans="6:7" x14ac:dyDescent="0.3">
      <c r="F1737" s="5"/>
      <c r="G1737" s="5"/>
    </row>
    <row r="1738" spans="6:7" x14ac:dyDescent="0.3">
      <c r="F1738" s="5"/>
      <c r="G1738" s="5"/>
    </row>
    <row r="1739" spans="6:7" x14ac:dyDescent="0.3">
      <c r="F1739" s="5"/>
      <c r="G1739" s="5"/>
    </row>
    <row r="1740" spans="6:7" x14ac:dyDescent="0.3">
      <c r="F1740" s="5"/>
      <c r="G1740" s="5"/>
    </row>
    <row r="1741" spans="6:7" x14ac:dyDescent="0.3">
      <c r="F1741" s="5"/>
      <c r="G1741" s="5"/>
    </row>
    <row r="1742" spans="6:7" x14ac:dyDescent="0.3">
      <c r="F1742" s="5"/>
      <c r="G1742" s="5"/>
    </row>
    <row r="1743" spans="6:7" x14ac:dyDescent="0.3">
      <c r="F1743" s="5"/>
      <c r="G1743" s="5"/>
    </row>
    <row r="1744" spans="6:7" x14ac:dyDescent="0.3">
      <c r="F1744" s="5"/>
      <c r="G1744" s="5"/>
    </row>
    <row r="1745" spans="6:7" x14ac:dyDescent="0.3">
      <c r="F1745" s="5"/>
      <c r="G1745" s="5"/>
    </row>
    <row r="1746" spans="6:7" x14ac:dyDescent="0.3">
      <c r="F1746" s="5"/>
      <c r="G1746" s="5"/>
    </row>
    <row r="1747" spans="6:7" x14ac:dyDescent="0.3">
      <c r="F1747" s="5"/>
      <c r="G1747" s="5"/>
    </row>
    <row r="1748" spans="6:7" x14ac:dyDescent="0.3">
      <c r="F1748" s="5"/>
      <c r="G1748" s="5"/>
    </row>
    <row r="1749" spans="6:7" x14ac:dyDescent="0.3">
      <c r="F1749" s="5"/>
      <c r="G1749" s="5"/>
    </row>
    <row r="1750" spans="6:7" x14ac:dyDescent="0.3">
      <c r="F1750" s="5"/>
      <c r="G1750" s="5"/>
    </row>
    <row r="1751" spans="6:7" x14ac:dyDescent="0.3">
      <c r="F1751" s="5"/>
      <c r="G1751" s="5"/>
    </row>
    <row r="1752" spans="6:7" x14ac:dyDescent="0.3">
      <c r="F1752" s="5"/>
      <c r="G1752" s="5"/>
    </row>
    <row r="1753" spans="6:7" x14ac:dyDescent="0.3">
      <c r="F1753" s="5"/>
      <c r="G1753" s="5"/>
    </row>
    <row r="1754" spans="6:7" x14ac:dyDescent="0.3">
      <c r="F1754" s="5"/>
      <c r="G1754" s="5"/>
    </row>
    <row r="1755" spans="6:7" x14ac:dyDescent="0.3">
      <c r="F1755" s="5"/>
      <c r="G1755" s="5"/>
    </row>
    <row r="1756" spans="6:7" x14ac:dyDescent="0.3">
      <c r="F1756" s="5"/>
      <c r="G1756" s="5"/>
    </row>
    <row r="1757" spans="6:7" x14ac:dyDescent="0.3">
      <c r="F1757" s="5"/>
      <c r="G1757" s="5"/>
    </row>
    <row r="1758" spans="6:7" x14ac:dyDescent="0.3">
      <c r="F1758" s="5"/>
      <c r="G1758" s="5"/>
    </row>
    <row r="1759" spans="6:7" x14ac:dyDescent="0.3">
      <c r="F1759" s="5"/>
      <c r="G1759" s="5"/>
    </row>
    <row r="1760" spans="6:7" x14ac:dyDescent="0.3">
      <c r="F1760" s="5"/>
      <c r="G1760" s="5"/>
    </row>
    <row r="1761" spans="6:7" x14ac:dyDescent="0.3">
      <c r="F1761" s="5"/>
      <c r="G1761" s="5"/>
    </row>
    <row r="1762" spans="6:7" x14ac:dyDescent="0.3">
      <c r="F1762" s="5"/>
      <c r="G1762" s="5"/>
    </row>
    <row r="1763" spans="6:7" x14ac:dyDescent="0.3">
      <c r="F1763" s="5"/>
      <c r="G1763" s="5"/>
    </row>
    <row r="1764" spans="6:7" x14ac:dyDescent="0.3">
      <c r="F1764" s="5"/>
      <c r="G1764" s="5"/>
    </row>
    <row r="1765" spans="6:7" x14ac:dyDescent="0.3">
      <c r="F1765" s="5"/>
      <c r="G1765" s="5"/>
    </row>
    <row r="1766" spans="6:7" x14ac:dyDescent="0.3">
      <c r="F1766" s="5"/>
      <c r="G1766" s="5"/>
    </row>
    <row r="1767" spans="6:7" x14ac:dyDescent="0.3">
      <c r="F1767" s="5"/>
      <c r="G1767" s="5"/>
    </row>
    <row r="1768" spans="6:7" x14ac:dyDescent="0.3">
      <c r="F1768" s="5"/>
      <c r="G1768" s="5"/>
    </row>
    <row r="1769" spans="6:7" x14ac:dyDescent="0.3">
      <c r="F1769" s="5"/>
      <c r="G1769" s="5"/>
    </row>
    <row r="1770" spans="6:7" x14ac:dyDescent="0.3">
      <c r="F1770" s="5"/>
      <c r="G1770" s="5"/>
    </row>
    <row r="1771" spans="6:7" x14ac:dyDescent="0.3">
      <c r="F1771" s="5"/>
      <c r="G1771" s="5"/>
    </row>
    <row r="1772" spans="6:7" x14ac:dyDescent="0.3">
      <c r="F1772" s="5"/>
      <c r="G1772" s="5"/>
    </row>
    <row r="1773" spans="6:7" x14ac:dyDescent="0.3">
      <c r="F1773" s="5"/>
      <c r="G1773" s="5"/>
    </row>
    <row r="1774" spans="6:7" x14ac:dyDescent="0.3">
      <c r="F1774" s="5"/>
      <c r="G1774" s="5"/>
    </row>
    <row r="1775" spans="6:7" x14ac:dyDescent="0.3">
      <c r="F1775" s="5"/>
      <c r="G1775" s="5"/>
    </row>
    <row r="1776" spans="6:7" x14ac:dyDescent="0.3">
      <c r="F1776" s="5"/>
      <c r="G1776" s="5"/>
    </row>
    <row r="1777" spans="6:7" x14ac:dyDescent="0.3">
      <c r="F1777" s="5"/>
      <c r="G1777" s="5"/>
    </row>
    <row r="1778" spans="6:7" x14ac:dyDescent="0.3">
      <c r="F1778" s="5"/>
      <c r="G1778" s="5"/>
    </row>
    <row r="1779" spans="6:7" x14ac:dyDescent="0.3">
      <c r="F1779" s="5"/>
      <c r="G1779" s="5"/>
    </row>
    <row r="1780" spans="6:7" x14ac:dyDescent="0.3">
      <c r="F1780" s="5"/>
      <c r="G1780" s="5"/>
    </row>
    <row r="1781" spans="6:7" x14ac:dyDescent="0.3">
      <c r="F1781" s="5"/>
      <c r="G1781" s="5"/>
    </row>
    <row r="1782" spans="6:7" x14ac:dyDescent="0.3">
      <c r="F1782" s="5"/>
      <c r="G1782" s="5"/>
    </row>
    <row r="1783" spans="6:7" x14ac:dyDescent="0.3">
      <c r="F1783" s="5"/>
      <c r="G1783" s="5"/>
    </row>
    <row r="1784" spans="6:7" x14ac:dyDescent="0.3">
      <c r="F1784" s="5"/>
      <c r="G1784" s="5"/>
    </row>
    <row r="1785" spans="6:7" x14ac:dyDescent="0.3">
      <c r="F1785" s="5"/>
      <c r="G1785" s="5"/>
    </row>
    <row r="1786" spans="6:7" x14ac:dyDescent="0.3">
      <c r="F1786" s="5"/>
      <c r="G1786" s="5"/>
    </row>
    <row r="1787" spans="6:7" x14ac:dyDescent="0.3">
      <c r="F1787" s="5"/>
      <c r="G1787" s="5"/>
    </row>
    <row r="1788" spans="6:7" x14ac:dyDescent="0.3">
      <c r="F1788" s="5"/>
      <c r="G1788" s="5"/>
    </row>
    <row r="1789" spans="6:7" x14ac:dyDescent="0.3">
      <c r="F1789" s="5"/>
      <c r="G1789" s="5"/>
    </row>
    <row r="1790" spans="6:7" x14ac:dyDescent="0.3">
      <c r="F1790" s="5"/>
      <c r="G1790" s="5"/>
    </row>
    <row r="1791" spans="6:7" x14ac:dyDescent="0.3">
      <c r="F1791" s="5"/>
      <c r="G1791" s="5"/>
    </row>
    <row r="1792" spans="6:7" x14ac:dyDescent="0.3">
      <c r="F1792" s="5"/>
      <c r="G1792" s="5"/>
    </row>
    <row r="1793" spans="6:7" x14ac:dyDescent="0.3">
      <c r="F1793" s="5"/>
      <c r="G1793" s="5"/>
    </row>
    <row r="1794" spans="6:7" x14ac:dyDescent="0.3">
      <c r="F1794" s="5"/>
      <c r="G1794" s="5"/>
    </row>
    <row r="1795" spans="6:7" x14ac:dyDescent="0.3">
      <c r="F1795" s="5"/>
      <c r="G1795" s="5"/>
    </row>
    <row r="1796" spans="6:7" x14ac:dyDescent="0.3">
      <c r="F1796" s="5"/>
      <c r="G1796" s="5"/>
    </row>
    <row r="1797" spans="6:7" x14ac:dyDescent="0.3">
      <c r="F1797" s="5"/>
      <c r="G1797" s="5"/>
    </row>
    <row r="1798" spans="6:7" x14ac:dyDescent="0.3">
      <c r="F1798" s="5"/>
      <c r="G1798" s="5"/>
    </row>
    <row r="1799" spans="6:7" x14ac:dyDescent="0.3">
      <c r="F1799" s="5"/>
      <c r="G1799" s="5"/>
    </row>
    <row r="1800" spans="6:7" x14ac:dyDescent="0.3">
      <c r="F1800" s="5"/>
      <c r="G1800" s="5"/>
    </row>
    <row r="1801" spans="6:7" x14ac:dyDescent="0.3">
      <c r="F1801" s="5"/>
      <c r="G1801" s="5"/>
    </row>
    <row r="1802" spans="6:7" x14ac:dyDescent="0.3">
      <c r="F1802" s="5"/>
      <c r="G1802" s="5"/>
    </row>
    <row r="1803" spans="6:7" x14ac:dyDescent="0.3">
      <c r="F1803" s="5"/>
      <c r="G1803" s="5"/>
    </row>
    <row r="1804" spans="6:7" x14ac:dyDescent="0.3">
      <c r="F1804" s="5"/>
      <c r="G1804" s="5"/>
    </row>
    <row r="1805" spans="6:7" x14ac:dyDescent="0.3">
      <c r="F1805" s="5"/>
      <c r="G1805" s="5"/>
    </row>
    <row r="1806" spans="6:7" x14ac:dyDescent="0.3">
      <c r="F1806" s="5"/>
      <c r="G1806" s="5"/>
    </row>
    <row r="1807" spans="6:7" x14ac:dyDescent="0.3">
      <c r="F1807" s="5"/>
      <c r="G1807" s="5"/>
    </row>
    <row r="1808" spans="6:7" x14ac:dyDescent="0.3">
      <c r="F1808" s="5"/>
      <c r="G1808" s="5"/>
    </row>
    <row r="1809" spans="6:7" x14ac:dyDescent="0.3">
      <c r="F1809" s="5"/>
      <c r="G1809" s="5"/>
    </row>
    <row r="1810" spans="6:7" x14ac:dyDescent="0.3">
      <c r="F1810" s="5"/>
      <c r="G1810" s="5"/>
    </row>
    <row r="1811" spans="6:7" x14ac:dyDescent="0.3">
      <c r="F1811" s="5"/>
      <c r="G1811" s="5"/>
    </row>
    <row r="1812" spans="6:7" x14ac:dyDescent="0.3">
      <c r="F1812" s="5"/>
      <c r="G1812" s="5"/>
    </row>
    <row r="1813" spans="6:7" x14ac:dyDescent="0.3">
      <c r="F1813" s="5"/>
      <c r="G1813" s="5"/>
    </row>
    <row r="1814" spans="6:7" x14ac:dyDescent="0.3">
      <c r="F1814" s="5"/>
      <c r="G1814" s="5"/>
    </row>
    <row r="1815" spans="6:7" x14ac:dyDescent="0.3">
      <c r="F1815" s="5"/>
      <c r="G1815" s="5"/>
    </row>
    <row r="1816" spans="6:7" x14ac:dyDescent="0.3">
      <c r="F1816" s="5"/>
      <c r="G1816" s="5"/>
    </row>
    <row r="1817" spans="6:7" x14ac:dyDescent="0.3">
      <c r="F1817" s="5"/>
      <c r="G1817" s="5"/>
    </row>
    <row r="1818" spans="6:7" x14ac:dyDescent="0.3">
      <c r="F1818" s="5"/>
      <c r="G1818" s="5"/>
    </row>
    <row r="1819" spans="6:7" x14ac:dyDescent="0.3">
      <c r="F1819" s="5"/>
      <c r="G1819" s="5"/>
    </row>
    <row r="1820" spans="6:7" x14ac:dyDescent="0.3">
      <c r="F1820" s="5"/>
      <c r="G1820" s="5"/>
    </row>
    <row r="1821" spans="6:7" x14ac:dyDescent="0.3">
      <c r="F1821" s="5"/>
      <c r="G1821" s="5"/>
    </row>
    <row r="1822" spans="6:7" x14ac:dyDescent="0.3">
      <c r="F1822" s="5"/>
      <c r="G1822" s="5"/>
    </row>
    <row r="1823" spans="6:7" x14ac:dyDescent="0.3">
      <c r="F1823" s="5"/>
      <c r="G1823" s="5"/>
    </row>
    <row r="1824" spans="6:7" x14ac:dyDescent="0.3">
      <c r="F1824" s="5"/>
      <c r="G1824" s="5"/>
    </row>
    <row r="1825" spans="6:7" x14ac:dyDescent="0.3">
      <c r="F1825" s="5"/>
      <c r="G1825" s="5"/>
    </row>
    <row r="1826" spans="6:7" x14ac:dyDescent="0.3">
      <c r="F1826" s="5"/>
      <c r="G1826" s="5"/>
    </row>
    <row r="1827" spans="6:7" x14ac:dyDescent="0.3">
      <c r="F1827" s="5"/>
      <c r="G1827" s="5"/>
    </row>
    <row r="1828" spans="6:7" x14ac:dyDescent="0.3">
      <c r="F1828" s="5"/>
      <c r="G1828" s="5"/>
    </row>
    <row r="1829" spans="6:7" x14ac:dyDescent="0.3">
      <c r="F1829" s="5"/>
      <c r="G1829" s="5"/>
    </row>
    <row r="1830" spans="6:7" x14ac:dyDescent="0.3">
      <c r="F1830" s="5"/>
      <c r="G1830" s="5"/>
    </row>
    <row r="1831" spans="6:7" x14ac:dyDescent="0.3">
      <c r="F1831" s="5"/>
      <c r="G1831" s="5"/>
    </row>
    <row r="1832" spans="6:7" x14ac:dyDescent="0.3">
      <c r="F1832" s="5"/>
      <c r="G1832" s="5"/>
    </row>
    <row r="1833" spans="6:7" x14ac:dyDescent="0.3">
      <c r="F1833" s="5"/>
      <c r="G1833" s="5"/>
    </row>
    <row r="1834" spans="6:7" x14ac:dyDescent="0.3">
      <c r="F1834" s="5"/>
      <c r="G1834" s="5"/>
    </row>
    <row r="1835" spans="6:7" x14ac:dyDescent="0.3">
      <c r="F1835" s="5"/>
      <c r="G1835" s="5"/>
    </row>
    <row r="1836" spans="6:7" x14ac:dyDescent="0.3">
      <c r="F1836" s="5"/>
      <c r="G1836" s="5"/>
    </row>
    <row r="1837" spans="6:7" x14ac:dyDescent="0.3">
      <c r="F1837" s="5"/>
      <c r="G1837" s="5"/>
    </row>
    <row r="1838" spans="6:7" x14ac:dyDescent="0.3">
      <c r="F1838" s="5"/>
      <c r="G1838" s="5"/>
    </row>
    <row r="1839" spans="6:7" x14ac:dyDescent="0.3">
      <c r="F1839" s="5"/>
      <c r="G1839" s="5"/>
    </row>
    <row r="1840" spans="6:7" x14ac:dyDescent="0.3">
      <c r="F1840" s="5"/>
      <c r="G1840" s="5"/>
    </row>
    <row r="1841" spans="6:7" x14ac:dyDescent="0.3">
      <c r="F1841" s="5"/>
      <c r="G1841" s="5"/>
    </row>
    <row r="1842" spans="6:7" x14ac:dyDescent="0.3">
      <c r="F1842" s="5"/>
      <c r="G1842" s="5"/>
    </row>
    <row r="1843" spans="6:7" x14ac:dyDescent="0.3">
      <c r="F1843" s="5"/>
      <c r="G1843" s="5"/>
    </row>
    <row r="1844" spans="6:7" x14ac:dyDescent="0.3">
      <c r="F1844" s="5"/>
      <c r="G1844" s="5"/>
    </row>
    <row r="1845" spans="6:7" x14ac:dyDescent="0.3">
      <c r="F1845" s="5"/>
      <c r="G1845" s="5"/>
    </row>
    <row r="1846" spans="6:7" x14ac:dyDescent="0.3">
      <c r="F1846" s="5"/>
      <c r="G1846" s="5"/>
    </row>
    <row r="1847" spans="6:7" x14ac:dyDescent="0.3">
      <c r="F1847" s="5"/>
      <c r="G1847" s="5"/>
    </row>
    <row r="1848" spans="6:7" x14ac:dyDescent="0.3">
      <c r="F1848" s="5"/>
      <c r="G1848" s="5"/>
    </row>
    <row r="1849" spans="6:7" x14ac:dyDescent="0.3">
      <c r="F1849" s="5"/>
      <c r="G1849" s="5"/>
    </row>
    <row r="1850" spans="6:7" x14ac:dyDescent="0.3">
      <c r="F1850" s="5"/>
      <c r="G1850" s="5"/>
    </row>
    <row r="1851" spans="6:7" x14ac:dyDescent="0.3">
      <c r="F1851" s="5"/>
      <c r="G1851" s="5"/>
    </row>
    <row r="1852" spans="6:7" x14ac:dyDescent="0.3">
      <c r="F1852" s="5"/>
      <c r="G1852" s="5"/>
    </row>
    <row r="1853" spans="6:7" x14ac:dyDescent="0.3">
      <c r="F1853" s="5"/>
      <c r="G1853" s="5"/>
    </row>
    <row r="1854" spans="6:7" x14ac:dyDescent="0.3">
      <c r="F1854" s="5"/>
      <c r="G1854" s="5"/>
    </row>
    <row r="1855" spans="6:7" x14ac:dyDescent="0.3">
      <c r="F1855" s="5"/>
      <c r="G1855" s="5"/>
    </row>
    <row r="1856" spans="6:7" x14ac:dyDescent="0.3">
      <c r="F1856" s="5"/>
      <c r="G1856" s="5"/>
    </row>
    <row r="1857" spans="6:7" x14ac:dyDescent="0.3">
      <c r="F1857" s="5"/>
      <c r="G1857" s="5"/>
    </row>
    <row r="1858" spans="6:7" x14ac:dyDescent="0.3">
      <c r="F1858" s="5"/>
      <c r="G1858" s="5"/>
    </row>
    <row r="1859" spans="6:7" x14ac:dyDescent="0.3">
      <c r="F1859" s="5"/>
      <c r="G1859" s="5"/>
    </row>
    <row r="1860" spans="6:7" x14ac:dyDescent="0.3">
      <c r="F1860" s="5"/>
      <c r="G1860" s="5"/>
    </row>
    <row r="1861" spans="6:7" x14ac:dyDescent="0.3">
      <c r="F1861" s="5"/>
      <c r="G1861" s="5"/>
    </row>
    <row r="1862" spans="6:7" x14ac:dyDescent="0.3">
      <c r="F1862" s="5"/>
      <c r="G1862" s="5"/>
    </row>
    <row r="1863" spans="6:7" x14ac:dyDescent="0.3">
      <c r="F1863" s="5"/>
      <c r="G1863" s="5"/>
    </row>
    <row r="1864" spans="6:7" x14ac:dyDescent="0.3">
      <c r="F1864" s="5"/>
      <c r="G1864" s="5"/>
    </row>
    <row r="1865" spans="6:7" x14ac:dyDescent="0.3">
      <c r="F1865" s="5"/>
      <c r="G1865" s="5"/>
    </row>
    <row r="1866" spans="6:7" x14ac:dyDescent="0.3">
      <c r="F1866" s="5"/>
      <c r="G1866" s="5"/>
    </row>
    <row r="1867" spans="6:7" x14ac:dyDescent="0.3">
      <c r="F1867" s="5"/>
      <c r="G1867" s="5"/>
    </row>
    <row r="1868" spans="6:7" x14ac:dyDescent="0.3">
      <c r="F1868" s="5"/>
      <c r="G1868" s="5"/>
    </row>
    <row r="1869" spans="6:7" x14ac:dyDescent="0.3">
      <c r="F1869" s="5"/>
      <c r="G1869" s="5"/>
    </row>
    <row r="1870" spans="6:7" x14ac:dyDescent="0.3">
      <c r="F1870" s="5"/>
      <c r="G1870" s="5"/>
    </row>
    <row r="1871" spans="6:7" x14ac:dyDescent="0.3">
      <c r="F1871" s="5"/>
      <c r="G1871" s="5"/>
    </row>
    <row r="1872" spans="6:7" x14ac:dyDescent="0.3">
      <c r="F1872" s="5"/>
      <c r="G1872" s="5"/>
    </row>
    <row r="1873" spans="6:7" x14ac:dyDescent="0.3">
      <c r="F1873" s="5"/>
      <c r="G1873" s="5"/>
    </row>
    <row r="1874" spans="6:7" x14ac:dyDescent="0.3">
      <c r="F1874" s="5"/>
      <c r="G1874" s="5"/>
    </row>
    <row r="1875" spans="6:7" x14ac:dyDescent="0.3">
      <c r="F1875" s="5"/>
      <c r="G1875" s="5"/>
    </row>
    <row r="1876" spans="6:7" x14ac:dyDescent="0.3">
      <c r="F1876" s="5"/>
      <c r="G1876" s="5"/>
    </row>
    <row r="1877" spans="6:7" x14ac:dyDescent="0.3">
      <c r="F1877" s="5"/>
      <c r="G1877" s="5"/>
    </row>
    <row r="1878" spans="6:7" x14ac:dyDescent="0.3">
      <c r="F1878" s="5"/>
      <c r="G1878" s="5"/>
    </row>
    <row r="1879" spans="6:7" x14ac:dyDescent="0.3">
      <c r="F1879" s="5"/>
      <c r="G1879" s="5"/>
    </row>
    <row r="1880" spans="6:7" x14ac:dyDescent="0.3">
      <c r="F1880" s="5"/>
      <c r="G1880" s="5"/>
    </row>
    <row r="1881" spans="6:7" x14ac:dyDescent="0.3">
      <c r="F1881" s="5"/>
      <c r="G1881" s="5"/>
    </row>
    <row r="1882" spans="6:7" x14ac:dyDescent="0.3">
      <c r="F1882" s="5"/>
      <c r="G1882" s="5"/>
    </row>
    <row r="1883" spans="6:7" x14ac:dyDescent="0.3">
      <c r="F1883" s="5"/>
      <c r="G1883" s="5"/>
    </row>
    <row r="1884" spans="6:7" x14ac:dyDescent="0.3">
      <c r="F1884" s="5"/>
      <c r="G1884" s="5"/>
    </row>
    <row r="1885" spans="6:7" x14ac:dyDescent="0.3">
      <c r="F1885" s="5"/>
      <c r="G1885" s="5"/>
    </row>
    <row r="1886" spans="6:7" x14ac:dyDescent="0.3">
      <c r="F1886" s="5"/>
      <c r="G1886" s="5"/>
    </row>
    <row r="1887" spans="6:7" x14ac:dyDescent="0.3">
      <c r="F1887" s="5"/>
      <c r="G1887" s="5"/>
    </row>
    <row r="1888" spans="6:7" x14ac:dyDescent="0.3">
      <c r="F1888" s="5"/>
      <c r="G1888" s="5"/>
    </row>
    <row r="1889" spans="6:7" x14ac:dyDescent="0.3">
      <c r="F1889" s="5"/>
      <c r="G1889" s="5"/>
    </row>
    <row r="1890" spans="6:7" x14ac:dyDescent="0.3">
      <c r="F1890" s="5"/>
      <c r="G1890" s="5"/>
    </row>
    <row r="1891" spans="6:7" x14ac:dyDescent="0.3">
      <c r="F1891" s="5"/>
      <c r="G1891" s="5"/>
    </row>
    <row r="1892" spans="6:7" x14ac:dyDescent="0.3">
      <c r="F1892" s="5"/>
      <c r="G1892" s="5"/>
    </row>
    <row r="1893" spans="6:7" x14ac:dyDescent="0.3">
      <c r="F1893" s="5"/>
      <c r="G1893" s="5"/>
    </row>
    <row r="1894" spans="6:7" x14ac:dyDescent="0.3">
      <c r="F1894" s="5"/>
      <c r="G1894" s="5"/>
    </row>
    <row r="1895" spans="6:7" x14ac:dyDescent="0.3">
      <c r="F1895" s="5"/>
      <c r="G1895" s="5"/>
    </row>
    <row r="1896" spans="6:7" x14ac:dyDescent="0.3">
      <c r="F1896" s="5"/>
      <c r="G1896" s="5"/>
    </row>
    <row r="1897" spans="6:7" x14ac:dyDescent="0.3">
      <c r="F1897" s="5"/>
      <c r="G1897" s="5"/>
    </row>
    <row r="1898" spans="6:7" x14ac:dyDescent="0.3">
      <c r="F1898" s="5"/>
      <c r="G1898" s="5"/>
    </row>
    <row r="1899" spans="6:7" x14ac:dyDescent="0.3">
      <c r="F1899" s="5"/>
      <c r="G1899" s="5"/>
    </row>
    <row r="1900" spans="6:7" x14ac:dyDescent="0.3">
      <c r="F1900" s="5"/>
      <c r="G1900" s="5"/>
    </row>
    <row r="1901" spans="6:7" x14ac:dyDescent="0.3">
      <c r="F1901" s="5"/>
      <c r="G1901" s="5"/>
    </row>
    <row r="1902" spans="6:7" x14ac:dyDescent="0.3">
      <c r="F1902" s="5"/>
      <c r="G1902" s="5"/>
    </row>
    <row r="1903" spans="6:7" x14ac:dyDescent="0.3">
      <c r="F1903" s="5"/>
      <c r="G1903" s="5"/>
    </row>
    <row r="1904" spans="6:7" x14ac:dyDescent="0.3">
      <c r="F1904" s="5"/>
      <c r="G1904" s="5"/>
    </row>
    <row r="1905" spans="6:7" x14ac:dyDescent="0.3">
      <c r="F1905" s="5"/>
      <c r="G1905" s="5"/>
    </row>
    <row r="1906" spans="6:7" x14ac:dyDescent="0.3">
      <c r="F1906" s="5"/>
      <c r="G1906" s="5"/>
    </row>
    <row r="1907" spans="6:7" x14ac:dyDescent="0.3">
      <c r="F1907" s="5"/>
      <c r="G1907" s="5"/>
    </row>
    <row r="1908" spans="6:7" x14ac:dyDescent="0.3">
      <c r="F1908" s="5"/>
      <c r="G1908" s="5"/>
    </row>
    <row r="1909" spans="6:7" x14ac:dyDescent="0.3">
      <c r="F1909" s="5"/>
      <c r="G1909" s="5"/>
    </row>
    <row r="1910" spans="6:7" x14ac:dyDescent="0.3">
      <c r="F1910" s="5"/>
      <c r="G1910" s="5"/>
    </row>
    <row r="1911" spans="6:7" x14ac:dyDescent="0.3">
      <c r="F1911" s="5"/>
      <c r="G1911" s="5"/>
    </row>
    <row r="1912" spans="6:7" x14ac:dyDescent="0.3">
      <c r="F1912" s="5"/>
      <c r="G1912" s="5"/>
    </row>
    <row r="1913" spans="6:7" x14ac:dyDescent="0.3">
      <c r="F1913" s="5"/>
      <c r="G1913" s="5"/>
    </row>
    <row r="1914" spans="6:7" x14ac:dyDescent="0.3">
      <c r="F1914" s="5"/>
      <c r="G1914" s="5"/>
    </row>
    <row r="1915" spans="6:7" x14ac:dyDescent="0.3">
      <c r="F1915" s="5"/>
      <c r="G1915" s="5"/>
    </row>
    <row r="1916" spans="6:7" x14ac:dyDescent="0.3">
      <c r="F1916" s="5"/>
      <c r="G1916" s="5"/>
    </row>
    <row r="1917" spans="6:7" x14ac:dyDescent="0.3">
      <c r="F1917" s="5"/>
      <c r="G1917" s="5"/>
    </row>
    <row r="1918" spans="6:7" x14ac:dyDescent="0.3">
      <c r="F1918" s="5"/>
      <c r="G1918" s="5"/>
    </row>
    <row r="1919" spans="6:7" x14ac:dyDescent="0.3">
      <c r="F1919" s="5"/>
      <c r="G1919" s="5"/>
    </row>
    <row r="1920" spans="6:7" x14ac:dyDescent="0.3">
      <c r="F1920" s="5"/>
      <c r="G1920" s="5"/>
    </row>
    <row r="1921" spans="6:7" x14ac:dyDescent="0.3">
      <c r="F1921" s="5"/>
      <c r="G1921" s="5"/>
    </row>
    <row r="1922" spans="6:7" x14ac:dyDescent="0.3">
      <c r="F1922" s="5"/>
      <c r="G1922" s="5"/>
    </row>
    <row r="1923" spans="6:7" x14ac:dyDescent="0.3">
      <c r="F1923" s="5"/>
      <c r="G1923" s="5"/>
    </row>
    <row r="1924" spans="6:7" x14ac:dyDescent="0.3">
      <c r="F1924" s="5"/>
      <c r="G1924" s="5"/>
    </row>
    <row r="1925" spans="6:7" x14ac:dyDescent="0.3">
      <c r="F1925" s="5"/>
      <c r="G1925" s="5"/>
    </row>
    <row r="1926" spans="6:7" x14ac:dyDescent="0.3">
      <c r="F1926" s="5"/>
      <c r="G1926" s="5"/>
    </row>
    <row r="1927" spans="6:7" x14ac:dyDescent="0.3">
      <c r="F1927" s="5"/>
      <c r="G1927" s="5"/>
    </row>
    <row r="1928" spans="6:7" x14ac:dyDescent="0.3">
      <c r="F1928" s="5"/>
      <c r="G1928" s="5"/>
    </row>
    <row r="1929" spans="6:7" x14ac:dyDescent="0.3">
      <c r="F1929" s="5"/>
      <c r="G1929" s="5"/>
    </row>
    <row r="1930" spans="6:7" x14ac:dyDescent="0.3">
      <c r="F1930" s="5"/>
      <c r="G1930" s="5"/>
    </row>
    <row r="1931" spans="6:7" x14ac:dyDescent="0.3">
      <c r="F1931" s="5"/>
      <c r="G1931" s="5"/>
    </row>
    <row r="1932" spans="6:7" x14ac:dyDescent="0.3">
      <c r="F1932" s="5"/>
      <c r="G1932" s="5"/>
    </row>
    <row r="1933" spans="6:7" x14ac:dyDescent="0.3">
      <c r="F1933" s="5"/>
      <c r="G1933" s="5"/>
    </row>
    <row r="1934" spans="6:7" x14ac:dyDescent="0.3">
      <c r="F1934" s="5"/>
      <c r="G1934" s="5"/>
    </row>
    <row r="1935" spans="6:7" x14ac:dyDescent="0.3">
      <c r="F1935" s="5"/>
      <c r="G1935" s="5"/>
    </row>
    <row r="1936" spans="6:7" x14ac:dyDescent="0.3">
      <c r="F1936" s="5"/>
      <c r="G1936" s="5"/>
    </row>
    <row r="1937" spans="6:7" x14ac:dyDescent="0.3">
      <c r="F1937" s="5"/>
      <c r="G1937" s="5"/>
    </row>
    <row r="1938" spans="6:7" x14ac:dyDescent="0.3">
      <c r="F1938" s="5"/>
      <c r="G1938" s="5"/>
    </row>
    <row r="1939" spans="6:7" x14ac:dyDescent="0.3">
      <c r="F1939" s="5"/>
      <c r="G1939" s="5"/>
    </row>
    <row r="1940" spans="6:7" x14ac:dyDescent="0.3">
      <c r="F1940" s="5"/>
      <c r="G1940" s="5"/>
    </row>
    <row r="1941" spans="6:7" x14ac:dyDescent="0.3">
      <c r="F1941" s="5"/>
      <c r="G1941" s="5"/>
    </row>
    <row r="1942" spans="6:7" x14ac:dyDescent="0.3">
      <c r="F1942" s="5"/>
      <c r="G1942" s="5"/>
    </row>
    <row r="1943" spans="6:7" x14ac:dyDescent="0.3">
      <c r="F1943" s="5"/>
      <c r="G1943" s="5"/>
    </row>
    <row r="1944" spans="6:7" x14ac:dyDescent="0.3">
      <c r="F1944" s="5"/>
      <c r="G1944" s="5"/>
    </row>
    <row r="1945" spans="6:7" x14ac:dyDescent="0.3">
      <c r="F1945" s="5"/>
      <c r="G1945" s="5"/>
    </row>
    <row r="1946" spans="6:7" x14ac:dyDescent="0.3">
      <c r="F1946" s="5"/>
      <c r="G1946" s="5"/>
    </row>
    <row r="1947" spans="6:7" x14ac:dyDescent="0.3">
      <c r="F1947" s="5"/>
      <c r="G1947" s="5"/>
    </row>
    <row r="1948" spans="6:7" x14ac:dyDescent="0.3">
      <c r="F1948" s="5"/>
      <c r="G1948" s="5"/>
    </row>
    <row r="1949" spans="6:7" x14ac:dyDescent="0.3">
      <c r="F1949" s="5"/>
      <c r="G1949" s="5"/>
    </row>
    <row r="1950" spans="6:7" x14ac:dyDescent="0.3">
      <c r="F1950" s="5"/>
      <c r="G1950" s="5"/>
    </row>
    <row r="1951" spans="6:7" x14ac:dyDescent="0.3">
      <c r="F1951" s="5"/>
      <c r="G1951" s="5"/>
    </row>
    <row r="1952" spans="6:7" x14ac:dyDescent="0.3">
      <c r="F1952" s="5"/>
      <c r="G1952" s="5"/>
    </row>
    <row r="1953" spans="6:7" x14ac:dyDescent="0.3">
      <c r="F1953" s="5"/>
      <c r="G1953" s="5"/>
    </row>
    <row r="1954" spans="6:7" x14ac:dyDescent="0.3">
      <c r="F1954" s="5"/>
      <c r="G1954" s="5"/>
    </row>
    <row r="1955" spans="6:7" x14ac:dyDescent="0.3">
      <c r="F1955" s="5"/>
      <c r="G1955" s="5"/>
    </row>
    <row r="1956" spans="6:7" x14ac:dyDescent="0.3">
      <c r="F1956" s="5"/>
      <c r="G1956" s="5"/>
    </row>
    <row r="1957" spans="6:7" x14ac:dyDescent="0.3">
      <c r="F1957" s="5"/>
      <c r="G1957" s="5"/>
    </row>
    <row r="1958" spans="6:7" x14ac:dyDescent="0.3">
      <c r="F1958" s="5"/>
      <c r="G1958" s="5"/>
    </row>
    <row r="1959" spans="6:7" x14ac:dyDescent="0.3">
      <c r="F1959" s="5"/>
      <c r="G1959" s="5"/>
    </row>
    <row r="1960" spans="6:7" x14ac:dyDescent="0.3">
      <c r="F1960" s="5"/>
      <c r="G1960" s="5"/>
    </row>
    <row r="1961" spans="6:7" x14ac:dyDescent="0.3">
      <c r="F1961" s="5"/>
      <c r="G1961" s="5"/>
    </row>
    <row r="1962" spans="6:7" x14ac:dyDescent="0.3">
      <c r="F1962" s="5"/>
      <c r="G1962" s="5"/>
    </row>
    <row r="1963" spans="6:7" x14ac:dyDescent="0.3">
      <c r="F1963" s="5"/>
      <c r="G1963" s="5"/>
    </row>
    <row r="1964" spans="6:7" x14ac:dyDescent="0.3">
      <c r="F1964" s="5"/>
      <c r="G1964" s="5"/>
    </row>
    <row r="1965" spans="6:7" x14ac:dyDescent="0.3">
      <c r="F1965" s="5"/>
      <c r="G1965" s="5"/>
    </row>
    <row r="1966" spans="6:7" x14ac:dyDescent="0.3">
      <c r="F1966" s="5"/>
      <c r="G1966" s="5"/>
    </row>
    <row r="1967" spans="6:7" x14ac:dyDescent="0.3">
      <c r="F1967" s="5"/>
      <c r="G1967" s="5"/>
    </row>
    <row r="1968" spans="6:7" x14ac:dyDescent="0.3">
      <c r="F1968" s="5"/>
      <c r="G1968" s="5"/>
    </row>
    <row r="1969" spans="6:7" x14ac:dyDescent="0.3">
      <c r="F1969" s="5"/>
      <c r="G1969" s="5"/>
    </row>
    <row r="1970" spans="6:7" x14ac:dyDescent="0.3">
      <c r="F1970" s="5"/>
      <c r="G1970" s="5"/>
    </row>
    <row r="1971" spans="6:7" x14ac:dyDescent="0.3">
      <c r="F1971" s="5"/>
      <c r="G1971" s="5"/>
    </row>
    <row r="1972" spans="6:7" x14ac:dyDescent="0.3">
      <c r="F1972" s="5"/>
      <c r="G1972" s="5"/>
    </row>
    <row r="1973" spans="6:7" x14ac:dyDescent="0.3">
      <c r="F1973" s="5"/>
      <c r="G1973" s="5"/>
    </row>
    <row r="1974" spans="6:7" x14ac:dyDescent="0.3">
      <c r="F1974" s="5"/>
      <c r="G1974" s="5"/>
    </row>
    <row r="1975" spans="6:7" x14ac:dyDescent="0.3">
      <c r="F1975" s="5"/>
      <c r="G1975" s="5"/>
    </row>
    <row r="1976" spans="6:7" x14ac:dyDescent="0.3">
      <c r="F1976" s="5"/>
      <c r="G1976" s="5"/>
    </row>
    <row r="1977" spans="6:7" x14ac:dyDescent="0.3">
      <c r="F1977" s="5"/>
      <c r="G1977" s="5"/>
    </row>
    <row r="1978" spans="6:7" x14ac:dyDescent="0.3">
      <c r="F1978" s="5"/>
      <c r="G1978" s="5"/>
    </row>
    <row r="1979" spans="6:7" x14ac:dyDescent="0.3">
      <c r="F1979" s="5"/>
      <c r="G1979" s="5"/>
    </row>
    <row r="1980" spans="6:7" x14ac:dyDescent="0.3">
      <c r="F1980" s="5"/>
      <c r="G1980" s="5"/>
    </row>
    <row r="1981" spans="6:7" x14ac:dyDescent="0.3">
      <c r="F1981" s="5"/>
      <c r="G1981" s="5"/>
    </row>
    <row r="1982" spans="6:7" x14ac:dyDescent="0.3">
      <c r="F1982" s="5"/>
      <c r="G1982" s="5"/>
    </row>
    <row r="1983" spans="6:7" x14ac:dyDescent="0.3">
      <c r="F1983" s="5"/>
      <c r="G1983" s="5"/>
    </row>
    <row r="1984" spans="6:7" x14ac:dyDescent="0.3">
      <c r="F1984" s="5"/>
      <c r="G1984" s="5"/>
    </row>
    <row r="1985" spans="6:7" x14ac:dyDescent="0.3">
      <c r="F1985" s="5"/>
      <c r="G1985" s="5"/>
    </row>
    <row r="1986" spans="6:7" x14ac:dyDescent="0.3">
      <c r="F1986" s="5"/>
      <c r="G1986" s="5"/>
    </row>
    <row r="1987" spans="6:7" x14ac:dyDescent="0.3">
      <c r="F1987" s="5"/>
      <c r="G1987" s="5"/>
    </row>
    <row r="1988" spans="6:7" x14ac:dyDescent="0.3">
      <c r="F1988" s="5"/>
      <c r="G1988" s="5"/>
    </row>
    <row r="1989" spans="6:7" x14ac:dyDescent="0.3">
      <c r="F1989" s="5"/>
      <c r="G1989" s="5"/>
    </row>
    <row r="1990" spans="6:7" x14ac:dyDescent="0.3">
      <c r="F1990" s="5"/>
      <c r="G1990" s="5"/>
    </row>
    <row r="1991" spans="6:7" x14ac:dyDescent="0.3">
      <c r="F1991" s="5"/>
      <c r="G1991" s="5"/>
    </row>
    <row r="1992" spans="6:7" x14ac:dyDescent="0.3">
      <c r="F1992" s="5"/>
      <c r="G1992" s="5"/>
    </row>
    <row r="1993" spans="6:7" x14ac:dyDescent="0.3">
      <c r="F1993" s="5"/>
      <c r="G1993" s="5"/>
    </row>
    <row r="1994" spans="6:7" x14ac:dyDescent="0.3">
      <c r="F1994" s="5"/>
      <c r="G1994" s="5"/>
    </row>
    <row r="1995" spans="6:7" x14ac:dyDescent="0.3">
      <c r="F1995" s="5"/>
      <c r="G1995" s="5"/>
    </row>
    <row r="1996" spans="6:7" x14ac:dyDescent="0.3">
      <c r="F1996" s="5"/>
      <c r="G1996" s="5"/>
    </row>
    <row r="1997" spans="6:7" x14ac:dyDescent="0.3">
      <c r="F1997" s="5"/>
      <c r="G1997" s="5"/>
    </row>
    <row r="1998" spans="6:7" x14ac:dyDescent="0.3">
      <c r="F1998" s="5"/>
      <c r="G1998" s="5"/>
    </row>
    <row r="1999" spans="6:7" x14ac:dyDescent="0.3">
      <c r="F1999" s="5"/>
      <c r="G1999" s="5"/>
    </row>
    <row r="2000" spans="6:7" x14ac:dyDescent="0.3">
      <c r="F2000" s="5"/>
      <c r="G2000" s="5"/>
    </row>
    <row r="2001" spans="6:7" x14ac:dyDescent="0.3">
      <c r="F2001" s="5"/>
      <c r="G2001" s="5"/>
    </row>
    <row r="2002" spans="6:7" x14ac:dyDescent="0.3">
      <c r="F2002" s="5"/>
      <c r="G2002" s="5"/>
    </row>
    <row r="2003" spans="6:7" x14ac:dyDescent="0.3">
      <c r="F2003" s="5"/>
      <c r="G2003" s="5"/>
    </row>
    <row r="2004" spans="6:7" x14ac:dyDescent="0.3">
      <c r="F2004" s="5"/>
      <c r="G2004" s="5"/>
    </row>
    <row r="2005" spans="6:7" x14ac:dyDescent="0.3">
      <c r="F2005" s="5"/>
      <c r="G2005" s="5"/>
    </row>
    <row r="2006" spans="6:7" x14ac:dyDescent="0.3">
      <c r="F2006" s="5"/>
      <c r="G2006" s="5"/>
    </row>
    <row r="2007" spans="6:7" x14ac:dyDescent="0.3">
      <c r="F2007" s="5"/>
      <c r="G2007" s="5"/>
    </row>
    <row r="2008" spans="6:7" x14ac:dyDescent="0.3">
      <c r="F2008" s="5"/>
      <c r="G2008" s="5"/>
    </row>
    <row r="2009" spans="6:7" x14ac:dyDescent="0.3">
      <c r="F2009" s="5"/>
      <c r="G2009" s="5"/>
    </row>
    <row r="2010" spans="6:7" x14ac:dyDescent="0.3">
      <c r="F2010" s="5"/>
      <c r="G2010" s="5"/>
    </row>
    <row r="2011" spans="6:7" x14ac:dyDescent="0.3">
      <c r="F2011" s="5"/>
      <c r="G2011" s="5"/>
    </row>
    <row r="2012" spans="6:7" x14ac:dyDescent="0.3">
      <c r="F2012" s="5"/>
      <c r="G2012" s="5"/>
    </row>
    <row r="2013" spans="6:7" x14ac:dyDescent="0.3">
      <c r="F2013" s="5"/>
      <c r="G2013" s="5"/>
    </row>
    <row r="2014" spans="6:7" x14ac:dyDescent="0.3">
      <c r="F2014" s="5"/>
      <c r="G2014" s="5"/>
    </row>
    <row r="2015" spans="6:7" x14ac:dyDescent="0.3">
      <c r="F2015" s="5"/>
      <c r="G2015" s="5"/>
    </row>
    <row r="2016" spans="6:7" x14ac:dyDescent="0.3">
      <c r="F2016" s="5"/>
      <c r="G2016" s="5"/>
    </row>
    <row r="2017" spans="6:7" x14ac:dyDescent="0.3">
      <c r="F2017" s="5"/>
      <c r="G2017" s="5"/>
    </row>
    <row r="2018" spans="6:7" x14ac:dyDescent="0.3">
      <c r="F2018" s="5"/>
      <c r="G2018" s="5"/>
    </row>
    <row r="2019" spans="6:7" x14ac:dyDescent="0.3">
      <c r="F2019" s="5"/>
      <c r="G2019" s="5"/>
    </row>
    <row r="2020" spans="6:7" x14ac:dyDescent="0.3">
      <c r="F2020" s="5"/>
      <c r="G2020" s="5"/>
    </row>
    <row r="2021" spans="6:7" x14ac:dyDescent="0.3">
      <c r="F2021" s="5"/>
      <c r="G2021" s="5"/>
    </row>
    <row r="2022" spans="6:7" x14ac:dyDescent="0.3">
      <c r="F2022" s="5"/>
      <c r="G2022" s="5"/>
    </row>
    <row r="2023" spans="6:7" x14ac:dyDescent="0.3">
      <c r="F2023" s="5"/>
      <c r="G2023" s="5"/>
    </row>
    <row r="2024" spans="6:7" x14ac:dyDescent="0.3">
      <c r="F2024" s="5"/>
      <c r="G2024" s="5"/>
    </row>
    <row r="2025" spans="6:7" x14ac:dyDescent="0.3">
      <c r="F2025" s="5"/>
      <c r="G2025" s="5"/>
    </row>
    <row r="2026" spans="6:7" x14ac:dyDescent="0.3">
      <c r="F2026" s="5"/>
      <c r="G2026" s="5"/>
    </row>
    <row r="2027" spans="6:7" x14ac:dyDescent="0.3">
      <c r="F2027" s="5"/>
      <c r="G2027" s="5"/>
    </row>
    <row r="2028" spans="6:7" x14ac:dyDescent="0.3">
      <c r="F2028" s="5"/>
      <c r="G2028" s="5"/>
    </row>
    <row r="2029" spans="6:7" x14ac:dyDescent="0.3">
      <c r="F2029" s="5"/>
      <c r="G2029" s="5"/>
    </row>
    <row r="2030" spans="6:7" x14ac:dyDescent="0.3">
      <c r="F2030" s="5"/>
      <c r="G2030" s="5"/>
    </row>
    <row r="2031" spans="6:7" x14ac:dyDescent="0.3">
      <c r="F2031" s="5"/>
      <c r="G2031" s="5"/>
    </row>
    <row r="2032" spans="6:7" x14ac:dyDescent="0.3">
      <c r="F2032" s="5"/>
      <c r="G2032" s="5"/>
    </row>
    <row r="2033" spans="6:7" x14ac:dyDescent="0.3">
      <c r="F2033" s="5"/>
      <c r="G2033" s="5"/>
    </row>
    <row r="2034" spans="6:7" x14ac:dyDescent="0.3">
      <c r="F2034" s="5"/>
      <c r="G2034" s="5"/>
    </row>
    <row r="2035" spans="6:7" x14ac:dyDescent="0.3">
      <c r="F2035" s="5"/>
      <c r="G2035" s="5"/>
    </row>
    <row r="2036" spans="6:7" x14ac:dyDescent="0.3">
      <c r="F2036" s="5"/>
      <c r="G2036" s="5"/>
    </row>
    <row r="2037" spans="6:7" x14ac:dyDescent="0.3">
      <c r="F2037" s="5"/>
      <c r="G2037" s="5"/>
    </row>
    <row r="2038" spans="6:7" x14ac:dyDescent="0.3">
      <c r="F2038" s="5"/>
      <c r="G2038" s="5"/>
    </row>
    <row r="2039" spans="6:7" x14ac:dyDescent="0.3">
      <c r="F2039" s="5"/>
      <c r="G2039" s="5"/>
    </row>
    <row r="2040" spans="6:7" x14ac:dyDescent="0.3">
      <c r="F2040" s="5"/>
      <c r="G2040" s="5"/>
    </row>
    <row r="2041" spans="6:7" x14ac:dyDescent="0.3">
      <c r="F2041" s="5"/>
      <c r="G2041" s="5"/>
    </row>
    <row r="2042" spans="6:7" x14ac:dyDescent="0.3">
      <c r="F2042" s="5"/>
      <c r="G2042" s="5"/>
    </row>
    <row r="2043" spans="6:7" x14ac:dyDescent="0.3">
      <c r="F2043" s="5"/>
      <c r="G2043" s="5"/>
    </row>
    <row r="2044" spans="6:7" x14ac:dyDescent="0.3">
      <c r="F2044" s="5"/>
      <c r="G2044" s="5"/>
    </row>
    <row r="2045" spans="6:7" x14ac:dyDescent="0.3">
      <c r="F2045" s="5"/>
      <c r="G2045" s="5"/>
    </row>
    <row r="2046" spans="6:7" x14ac:dyDescent="0.3">
      <c r="F2046" s="5"/>
      <c r="G2046" s="5"/>
    </row>
    <row r="2047" spans="6:7" x14ac:dyDescent="0.3">
      <c r="F2047" s="5"/>
      <c r="G2047" s="5"/>
    </row>
    <row r="2048" spans="6:7" x14ac:dyDescent="0.3">
      <c r="F2048" s="5"/>
      <c r="G2048" s="5"/>
    </row>
    <row r="2049" spans="6:7" x14ac:dyDescent="0.3">
      <c r="F2049" s="5"/>
      <c r="G2049" s="5"/>
    </row>
    <row r="2050" spans="6:7" x14ac:dyDescent="0.3">
      <c r="F2050" s="5"/>
      <c r="G2050" s="5"/>
    </row>
    <row r="2051" spans="6:7" x14ac:dyDescent="0.3">
      <c r="F2051" s="5"/>
      <c r="G2051" s="5"/>
    </row>
    <row r="2052" spans="6:7" x14ac:dyDescent="0.3">
      <c r="F2052" s="5"/>
      <c r="G2052" s="5"/>
    </row>
    <row r="2053" spans="6:7" x14ac:dyDescent="0.3">
      <c r="F2053" s="5"/>
      <c r="G2053" s="5"/>
    </row>
    <row r="2054" spans="6:7" x14ac:dyDescent="0.3">
      <c r="F2054" s="5"/>
      <c r="G2054" s="5"/>
    </row>
    <row r="2055" spans="6:7" x14ac:dyDescent="0.3">
      <c r="F2055" s="5"/>
      <c r="G2055" s="5"/>
    </row>
    <row r="2056" spans="6:7" x14ac:dyDescent="0.3">
      <c r="F2056" s="5"/>
      <c r="G2056" s="5"/>
    </row>
    <row r="2057" spans="6:7" x14ac:dyDescent="0.3">
      <c r="F2057" s="5"/>
      <c r="G2057" s="5"/>
    </row>
    <row r="2058" spans="6:7" x14ac:dyDescent="0.3">
      <c r="F2058" s="5"/>
      <c r="G2058" s="5"/>
    </row>
    <row r="2059" spans="6:7" x14ac:dyDescent="0.3">
      <c r="F2059" s="5"/>
      <c r="G2059" s="5"/>
    </row>
    <row r="2060" spans="6:7" x14ac:dyDescent="0.3">
      <c r="F2060" s="5"/>
      <c r="G2060" s="5"/>
    </row>
    <row r="2061" spans="6:7" x14ac:dyDescent="0.3">
      <c r="F2061" s="5"/>
      <c r="G2061" s="5"/>
    </row>
    <row r="2062" spans="6:7" x14ac:dyDescent="0.3">
      <c r="F2062" s="5"/>
      <c r="G2062" s="5"/>
    </row>
    <row r="2063" spans="6:7" x14ac:dyDescent="0.3">
      <c r="F2063" s="5"/>
      <c r="G2063" s="5"/>
    </row>
    <row r="2064" spans="6:7" x14ac:dyDescent="0.3">
      <c r="F2064" s="5"/>
      <c r="G2064" s="5"/>
    </row>
    <row r="2065" spans="6:7" x14ac:dyDescent="0.3">
      <c r="F2065" s="5"/>
      <c r="G2065" s="5"/>
    </row>
    <row r="2066" spans="6:7" x14ac:dyDescent="0.3">
      <c r="F2066" s="5"/>
      <c r="G2066" s="5"/>
    </row>
    <row r="2067" spans="6:7" x14ac:dyDescent="0.3">
      <c r="F2067" s="5"/>
      <c r="G2067" s="5"/>
    </row>
    <row r="2068" spans="6:7" x14ac:dyDescent="0.3">
      <c r="F2068" s="5"/>
      <c r="G2068" s="5"/>
    </row>
    <row r="2069" spans="6:7" x14ac:dyDescent="0.3">
      <c r="F2069" s="5"/>
      <c r="G2069" s="5"/>
    </row>
    <row r="2070" spans="6:7" x14ac:dyDescent="0.3">
      <c r="F2070" s="5"/>
      <c r="G2070" s="5"/>
    </row>
    <row r="2071" spans="6:7" x14ac:dyDescent="0.3">
      <c r="F2071" s="5"/>
      <c r="G2071" s="5"/>
    </row>
    <row r="2072" spans="6:7" x14ac:dyDescent="0.3">
      <c r="F2072" s="5"/>
      <c r="G2072" s="5"/>
    </row>
    <row r="2073" spans="6:7" x14ac:dyDescent="0.3">
      <c r="F2073" s="5"/>
      <c r="G2073" s="5"/>
    </row>
    <row r="2074" spans="6:7" x14ac:dyDescent="0.3">
      <c r="F2074" s="5"/>
      <c r="G2074" s="5"/>
    </row>
    <row r="2075" spans="6:7" x14ac:dyDescent="0.3">
      <c r="F2075" s="5"/>
      <c r="G2075" s="5"/>
    </row>
    <row r="2076" spans="6:7" x14ac:dyDescent="0.3">
      <c r="F2076" s="5"/>
      <c r="G2076" s="5"/>
    </row>
    <row r="2077" spans="6:7" x14ac:dyDescent="0.3">
      <c r="F2077" s="5"/>
      <c r="G2077" s="5"/>
    </row>
    <row r="2078" spans="6:7" x14ac:dyDescent="0.3">
      <c r="F2078" s="5"/>
      <c r="G2078" s="5"/>
    </row>
    <row r="2079" spans="6:7" x14ac:dyDescent="0.3">
      <c r="F2079" s="5"/>
      <c r="G2079" s="5"/>
    </row>
    <row r="2080" spans="6:7" x14ac:dyDescent="0.3">
      <c r="F2080" s="5"/>
      <c r="G2080" s="5"/>
    </row>
    <row r="2081" spans="6:7" x14ac:dyDescent="0.3">
      <c r="F2081" s="5"/>
      <c r="G2081" s="5"/>
    </row>
    <row r="2082" spans="6:7" x14ac:dyDescent="0.3">
      <c r="F2082" s="5"/>
      <c r="G2082" s="5"/>
    </row>
    <row r="2083" spans="6:7" x14ac:dyDescent="0.3">
      <c r="F2083" s="5"/>
      <c r="G2083" s="5"/>
    </row>
    <row r="2084" spans="6:7" x14ac:dyDescent="0.3">
      <c r="F2084" s="5"/>
      <c r="G2084" s="5"/>
    </row>
    <row r="2085" spans="6:7" x14ac:dyDescent="0.3">
      <c r="F2085" s="5"/>
      <c r="G2085" s="5"/>
    </row>
    <row r="2086" spans="6:7" x14ac:dyDescent="0.3">
      <c r="F2086" s="5"/>
      <c r="G2086" s="5"/>
    </row>
    <row r="2087" spans="6:7" x14ac:dyDescent="0.3">
      <c r="F2087" s="5"/>
      <c r="G2087" s="5"/>
    </row>
    <row r="2088" spans="6:7" x14ac:dyDescent="0.3">
      <c r="F2088" s="5"/>
      <c r="G2088" s="5"/>
    </row>
    <row r="2089" spans="6:7" x14ac:dyDescent="0.3">
      <c r="F2089" s="5"/>
      <c r="G2089" s="5"/>
    </row>
    <row r="2090" spans="6:7" x14ac:dyDescent="0.3">
      <c r="F2090" s="5"/>
      <c r="G2090" s="5"/>
    </row>
    <row r="2091" spans="6:7" x14ac:dyDescent="0.3">
      <c r="F2091" s="5"/>
      <c r="G2091" s="5"/>
    </row>
    <row r="2092" spans="6:7" x14ac:dyDescent="0.3">
      <c r="F2092" s="5"/>
      <c r="G2092" s="5"/>
    </row>
    <row r="2093" spans="6:7" x14ac:dyDescent="0.3">
      <c r="F2093" s="5"/>
      <c r="G2093" s="5"/>
    </row>
    <row r="2094" spans="6:7" x14ac:dyDescent="0.3">
      <c r="F2094" s="5"/>
      <c r="G2094" s="5"/>
    </row>
    <row r="2095" spans="6:7" x14ac:dyDescent="0.3">
      <c r="F2095" s="5"/>
      <c r="G2095" s="5"/>
    </row>
    <row r="2096" spans="6:7" x14ac:dyDescent="0.3">
      <c r="F2096" s="5"/>
      <c r="G2096" s="5"/>
    </row>
    <row r="2097" spans="6:7" x14ac:dyDescent="0.3">
      <c r="F2097" s="5"/>
      <c r="G2097" s="5"/>
    </row>
    <row r="2098" spans="6:7" x14ac:dyDescent="0.3">
      <c r="F2098" s="5"/>
      <c r="G2098" s="5"/>
    </row>
    <row r="2099" spans="6:7" x14ac:dyDescent="0.3">
      <c r="F2099" s="5"/>
      <c r="G2099" s="5"/>
    </row>
    <row r="2100" spans="6:7" x14ac:dyDescent="0.3">
      <c r="F2100" s="5"/>
      <c r="G2100" s="5"/>
    </row>
    <row r="2101" spans="6:7" x14ac:dyDescent="0.3">
      <c r="F2101" s="5"/>
      <c r="G2101" s="5"/>
    </row>
    <row r="2102" spans="6:7" x14ac:dyDescent="0.3">
      <c r="F2102" s="5"/>
      <c r="G2102" s="5"/>
    </row>
    <row r="2103" spans="6:7" x14ac:dyDescent="0.3">
      <c r="F2103" s="5"/>
      <c r="G2103" s="5"/>
    </row>
    <row r="2104" spans="6:7" x14ac:dyDescent="0.3">
      <c r="F2104" s="5"/>
      <c r="G2104" s="5"/>
    </row>
    <row r="2105" spans="6:7" x14ac:dyDescent="0.3">
      <c r="F2105" s="5"/>
      <c r="G2105" s="5"/>
    </row>
    <row r="2106" spans="6:7" x14ac:dyDescent="0.3">
      <c r="F2106" s="5"/>
      <c r="G2106" s="5"/>
    </row>
    <row r="2107" spans="6:7" x14ac:dyDescent="0.3">
      <c r="F2107" s="5"/>
      <c r="G2107" s="5"/>
    </row>
    <row r="2108" spans="6:7" x14ac:dyDescent="0.3">
      <c r="F2108" s="5"/>
      <c r="G2108" s="5"/>
    </row>
    <row r="2109" spans="6:7" x14ac:dyDescent="0.3">
      <c r="F2109" s="5"/>
      <c r="G2109" s="5"/>
    </row>
    <row r="2110" spans="6:7" x14ac:dyDescent="0.3">
      <c r="F2110" s="5"/>
      <c r="G2110" s="5"/>
    </row>
    <row r="2111" spans="6:7" x14ac:dyDescent="0.3">
      <c r="F2111" s="5"/>
      <c r="G2111" s="5"/>
    </row>
    <row r="2112" spans="6:7" x14ac:dyDescent="0.3">
      <c r="F2112" s="5"/>
      <c r="G2112" s="5"/>
    </row>
    <row r="2113" spans="6:7" x14ac:dyDescent="0.3">
      <c r="F2113" s="5"/>
      <c r="G2113" s="5"/>
    </row>
    <row r="2114" spans="6:7" x14ac:dyDescent="0.3">
      <c r="F2114" s="5"/>
      <c r="G2114" s="5"/>
    </row>
    <row r="2115" spans="6:7" x14ac:dyDescent="0.3">
      <c r="F2115" s="5"/>
      <c r="G2115" s="5"/>
    </row>
    <row r="2116" spans="6:7" x14ac:dyDescent="0.3">
      <c r="F2116" s="5"/>
      <c r="G2116" s="5"/>
    </row>
    <row r="2117" spans="6:7" x14ac:dyDescent="0.3">
      <c r="F2117" s="5"/>
      <c r="G2117" s="5"/>
    </row>
    <row r="2118" spans="6:7" x14ac:dyDescent="0.3">
      <c r="F2118" s="5"/>
      <c r="G2118" s="5"/>
    </row>
    <row r="2119" spans="6:7" x14ac:dyDescent="0.3">
      <c r="F2119" s="5"/>
      <c r="G2119" s="5"/>
    </row>
    <row r="2120" spans="6:7" x14ac:dyDescent="0.3">
      <c r="F2120" s="5"/>
      <c r="G2120" s="5"/>
    </row>
    <row r="2121" spans="6:7" x14ac:dyDescent="0.3">
      <c r="F2121" s="5"/>
      <c r="G2121" s="5"/>
    </row>
    <row r="2122" spans="6:7" x14ac:dyDescent="0.3">
      <c r="F2122" s="5"/>
      <c r="G2122" s="5"/>
    </row>
    <row r="2123" spans="6:7" x14ac:dyDescent="0.3">
      <c r="F2123" s="5"/>
      <c r="G2123" s="5"/>
    </row>
    <row r="2124" spans="6:7" x14ac:dyDescent="0.3">
      <c r="F2124" s="5"/>
      <c r="G2124" s="5"/>
    </row>
    <row r="2125" spans="6:7" x14ac:dyDescent="0.3">
      <c r="F2125" s="5"/>
      <c r="G2125" s="5"/>
    </row>
    <row r="2126" spans="6:7" x14ac:dyDescent="0.3">
      <c r="F2126" s="5"/>
      <c r="G2126" s="5"/>
    </row>
    <row r="2127" spans="6:7" x14ac:dyDescent="0.3">
      <c r="F2127" s="5"/>
      <c r="G2127" s="5"/>
    </row>
    <row r="2128" spans="6:7" x14ac:dyDescent="0.3">
      <c r="F2128" s="5"/>
      <c r="G2128" s="5"/>
    </row>
    <row r="2129" spans="6:7" x14ac:dyDescent="0.3">
      <c r="F2129" s="5"/>
      <c r="G2129" s="5"/>
    </row>
    <row r="2130" spans="6:7" x14ac:dyDescent="0.3">
      <c r="F2130" s="5"/>
      <c r="G2130" s="5"/>
    </row>
    <row r="2131" spans="6:7" x14ac:dyDescent="0.3">
      <c r="F2131" s="5"/>
      <c r="G2131" s="5"/>
    </row>
    <row r="2132" spans="6:7" x14ac:dyDescent="0.3">
      <c r="F2132" s="5"/>
      <c r="G2132" s="5"/>
    </row>
    <row r="2133" spans="6:7" x14ac:dyDescent="0.3">
      <c r="F2133" s="5"/>
      <c r="G2133" s="5"/>
    </row>
    <row r="2134" spans="6:7" x14ac:dyDescent="0.3">
      <c r="F2134" s="5"/>
      <c r="G2134" s="5"/>
    </row>
    <row r="2135" spans="6:7" x14ac:dyDescent="0.3">
      <c r="F2135" s="5"/>
      <c r="G2135" s="5"/>
    </row>
    <row r="2136" spans="6:7" x14ac:dyDescent="0.3">
      <c r="F2136" s="5"/>
      <c r="G2136" s="5"/>
    </row>
    <row r="2137" spans="6:7" x14ac:dyDescent="0.3">
      <c r="F2137" s="5"/>
      <c r="G2137" s="5"/>
    </row>
    <row r="2138" spans="6:7" x14ac:dyDescent="0.3">
      <c r="F2138" s="5"/>
      <c r="G2138" s="5"/>
    </row>
    <row r="2139" spans="6:7" x14ac:dyDescent="0.3">
      <c r="F2139" s="5"/>
      <c r="G2139" s="5"/>
    </row>
    <row r="2140" spans="6:7" x14ac:dyDescent="0.3">
      <c r="F2140" s="5"/>
      <c r="G2140" s="5"/>
    </row>
    <row r="2141" spans="6:7" x14ac:dyDescent="0.3">
      <c r="F2141" s="5"/>
      <c r="G2141" s="5"/>
    </row>
    <row r="2142" spans="6:7" x14ac:dyDescent="0.3">
      <c r="F2142" s="5"/>
      <c r="G2142" s="5"/>
    </row>
    <row r="2143" spans="6:7" x14ac:dyDescent="0.3">
      <c r="F2143" s="5"/>
      <c r="G2143" s="5"/>
    </row>
    <row r="2144" spans="6:7" x14ac:dyDescent="0.3">
      <c r="F2144" s="5"/>
      <c r="G2144" s="5"/>
    </row>
    <row r="2145" spans="6:7" x14ac:dyDescent="0.3">
      <c r="F2145" s="5"/>
      <c r="G2145" s="5"/>
    </row>
    <row r="2146" spans="6:7" x14ac:dyDescent="0.3">
      <c r="F2146" s="5"/>
      <c r="G2146" s="5"/>
    </row>
    <row r="2147" spans="6:7" x14ac:dyDescent="0.3">
      <c r="F2147" s="5"/>
      <c r="G2147" s="5"/>
    </row>
    <row r="2148" spans="6:7" x14ac:dyDescent="0.3">
      <c r="F2148" s="5"/>
      <c r="G2148" s="5"/>
    </row>
    <row r="2149" spans="6:7" x14ac:dyDescent="0.3">
      <c r="F2149" s="5"/>
      <c r="G2149" s="5"/>
    </row>
    <row r="2150" spans="6:7" x14ac:dyDescent="0.3">
      <c r="F2150" s="5"/>
      <c r="G2150" s="5"/>
    </row>
    <row r="2151" spans="6:7" x14ac:dyDescent="0.3">
      <c r="F2151" s="5"/>
      <c r="G2151" s="5"/>
    </row>
    <row r="2152" spans="6:7" x14ac:dyDescent="0.3">
      <c r="F2152" s="5"/>
      <c r="G2152" s="5"/>
    </row>
    <row r="2153" spans="6:7" x14ac:dyDescent="0.3">
      <c r="F2153" s="5"/>
      <c r="G2153" s="5"/>
    </row>
    <row r="2154" spans="6:7" x14ac:dyDescent="0.3">
      <c r="F2154" s="5"/>
      <c r="G2154" s="5"/>
    </row>
    <row r="2155" spans="6:7" x14ac:dyDescent="0.3">
      <c r="F2155" s="5"/>
      <c r="G2155" s="5"/>
    </row>
    <row r="2156" spans="6:7" x14ac:dyDescent="0.3">
      <c r="F2156" s="5"/>
      <c r="G2156" s="5"/>
    </row>
    <row r="2157" spans="6:7" x14ac:dyDescent="0.3">
      <c r="F2157" s="5"/>
      <c r="G2157" s="5"/>
    </row>
    <row r="2158" spans="6:7" x14ac:dyDescent="0.3">
      <c r="F2158" s="5"/>
      <c r="G2158" s="5"/>
    </row>
    <row r="2159" spans="6:7" x14ac:dyDescent="0.3">
      <c r="F2159" s="5"/>
      <c r="G2159" s="5"/>
    </row>
    <row r="2160" spans="6:7" x14ac:dyDescent="0.3">
      <c r="F2160" s="5"/>
      <c r="G2160" s="5"/>
    </row>
    <row r="2161" spans="6:7" x14ac:dyDescent="0.3">
      <c r="F2161" s="5"/>
      <c r="G2161" s="5"/>
    </row>
    <row r="2162" spans="6:7" x14ac:dyDescent="0.3">
      <c r="F2162" s="5"/>
      <c r="G2162" s="5"/>
    </row>
    <row r="2163" spans="6:7" x14ac:dyDescent="0.3">
      <c r="F2163" s="5"/>
      <c r="G2163" s="5"/>
    </row>
    <row r="2164" spans="6:7" x14ac:dyDescent="0.3">
      <c r="F2164" s="5"/>
      <c r="G2164" s="5"/>
    </row>
    <row r="2165" spans="6:7" x14ac:dyDescent="0.3">
      <c r="F2165" s="5"/>
      <c r="G2165" s="5"/>
    </row>
    <row r="2166" spans="6:7" x14ac:dyDescent="0.3">
      <c r="F2166" s="5"/>
      <c r="G2166" s="5"/>
    </row>
    <row r="2167" spans="6:7" x14ac:dyDescent="0.3">
      <c r="F2167" s="5"/>
      <c r="G2167" s="5"/>
    </row>
    <row r="2168" spans="6:7" x14ac:dyDescent="0.3">
      <c r="F2168" s="5"/>
      <c r="G2168" s="5"/>
    </row>
    <row r="2169" spans="6:7" x14ac:dyDescent="0.3">
      <c r="F2169" s="5"/>
      <c r="G2169" s="5"/>
    </row>
    <row r="2170" spans="6:7" x14ac:dyDescent="0.3">
      <c r="F2170" s="5"/>
      <c r="G2170" s="5"/>
    </row>
    <row r="2171" spans="6:7" x14ac:dyDescent="0.3">
      <c r="F2171" s="5"/>
      <c r="G2171" s="5"/>
    </row>
    <row r="2172" spans="6:7" x14ac:dyDescent="0.3">
      <c r="F2172" s="5"/>
      <c r="G2172" s="5"/>
    </row>
    <row r="2173" spans="6:7" x14ac:dyDescent="0.3">
      <c r="F2173" s="5"/>
      <c r="G2173" s="5"/>
    </row>
    <row r="2174" spans="6:7" x14ac:dyDescent="0.3">
      <c r="F2174" s="5"/>
      <c r="G2174" s="5"/>
    </row>
    <row r="2175" spans="6:7" x14ac:dyDescent="0.3">
      <c r="F2175" s="5"/>
      <c r="G2175" s="5"/>
    </row>
    <row r="2176" spans="6:7" x14ac:dyDescent="0.3">
      <c r="F2176" s="5"/>
      <c r="G2176" s="5"/>
    </row>
    <row r="2177" spans="6:7" x14ac:dyDescent="0.3">
      <c r="F2177" s="5"/>
      <c r="G2177" s="5"/>
    </row>
    <row r="2178" spans="6:7" x14ac:dyDescent="0.3">
      <c r="F2178" s="5"/>
      <c r="G2178" s="5"/>
    </row>
    <row r="2179" spans="6:7" x14ac:dyDescent="0.3">
      <c r="F2179" s="5"/>
      <c r="G2179" s="5"/>
    </row>
    <row r="2180" spans="6:7" x14ac:dyDescent="0.3">
      <c r="F2180" s="5"/>
      <c r="G2180" s="5"/>
    </row>
    <row r="2181" spans="6:7" x14ac:dyDescent="0.3">
      <c r="F2181" s="5"/>
      <c r="G2181" s="5"/>
    </row>
    <row r="2182" spans="6:7" x14ac:dyDescent="0.3">
      <c r="F2182" s="5"/>
      <c r="G2182" s="5"/>
    </row>
    <row r="2183" spans="6:7" x14ac:dyDescent="0.3">
      <c r="F2183" s="5"/>
      <c r="G2183" s="5"/>
    </row>
    <row r="2184" spans="6:7" x14ac:dyDescent="0.3">
      <c r="F2184" s="5"/>
      <c r="G2184" s="5"/>
    </row>
    <row r="2185" spans="6:7" x14ac:dyDescent="0.3">
      <c r="F2185" s="5"/>
      <c r="G2185" s="5"/>
    </row>
    <row r="2186" spans="6:7" x14ac:dyDescent="0.3">
      <c r="F2186" s="5"/>
      <c r="G2186" s="5"/>
    </row>
    <row r="2187" spans="6:7" x14ac:dyDescent="0.3">
      <c r="F2187" s="5"/>
      <c r="G2187" s="5"/>
    </row>
    <row r="2188" spans="6:7" x14ac:dyDescent="0.3">
      <c r="F2188" s="5"/>
      <c r="G2188" s="5"/>
    </row>
    <row r="2189" spans="6:7" x14ac:dyDescent="0.3">
      <c r="F2189" s="5"/>
      <c r="G2189" s="5"/>
    </row>
    <row r="2190" spans="6:7" x14ac:dyDescent="0.3">
      <c r="F2190" s="5"/>
      <c r="G2190" s="5"/>
    </row>
    <row r="2191" spans="6:7" x14ac:dyDescent="0.3">
      <c r="F2191" s="5"/>
      <c r="G2191" s="5"/>
    </row>
    <row r="2192" spans="6:7" x14ac:dyDescent="0.3">
      <c r="F2192" s="5"/>
      <c r="G2192" s="5"/>
    </row>
    <row r="2193" spans="6:7" x14ac:dyDescent="0.3">
      <c r="F2193" s="5"/>
      <c r="G2193" s="5"/>
    </row>
    <row r="2194" spans="6:7" x14ac:dyDescent="0.3">
      <c r="F2194" s="5"/>
      <c r="G2194" s="5"/>
    </row>
    <row r="2195" spans="6:7" x14ac:dyDescent="0.3">
      <c r="F2195" s="5"/>
      <c r="G2195" s="5"/>
    </row>
    <row r="2196" spans="6:7" x14ac:dyDescent="0.3">
      <c r="F2196" s="5"/>
      <c r="G2196" s="5"/>
    </row>
    <row r="2197" spans="6:7" x14ac:dyDescent="0.3">
      <c r="F2197" s="5"/>
      <c r="G2197" s="5"/>
    </row>
    <row r="2198" spans="6:7" x14ac:dyDescent="0.3">
      <c r="F2198" s="5"/>
      <c r="G2198" s="5"/>
    </row>
    <row r="2199" spans="6:7" x14ac:dyDescent="0.3">
      <c r="F2199" s="5"/>
      <c r="G2199" s="5"/>
    </row>
    <row r="2200" spans="6:7" x14ac:dyDescent="0.3">
      <c r="F2200" s="5"/>
      <c r="G2200" s="5"/>
    </row>
    <row r="2201" spans="6:7" x14ac:dyDescent="0.3">
      <c r="F2201" s="5"/>
      <c r="G2201" s="5"/>
    </row>
    <row r="2202" spans="6:7" x14ac:dyDescent="0.3">
      <c r="F2202" s="5"/>
      <c r="G2202" s="5"/>
    </row>
    <row r="2203" spans="6:7" x14ac:dyDescent="0.3">
      <c r="F2203" s="5"/>
      <c r="G2203" s="5"/>
    </row>
    <row r="2204" spans="6:7" x14ac:dyDescent="0.3">
      <c r="F2204" s="5"/>
      <c r="G2204" s="5"/>
    </row>
    <row r="2205" spans="6:7" x14ac:dyDescent="0.3">
      <c r="F2205" s="5"/>
      <c r="G2205" s="5"/>
    </row>
    <row r="2206" spans="6:7" x14ac:dyDescent="0.3">
      <c r="F2206" s="5"/>
      <c r="G2206" s="5"/>
    </row>
    <row r="2207" spans="6:7" x14ac:dyDescent="0.3">
      <c r="F2207" s="5"/>
      <c r="G2207" s="5"/>
    </row>
    <row r="2208" spans="6:7" x14ac:dyDescent="0.3">
      <c r="F2208" s="5"/>
      <c r="G2208" s="5"/>
    </row>
    <row r="2209" spans="6:7" x14ac:dyDescent="0.3">
      <c r="F2209" s="5"/>
      <c r="G2209" s="5"/>
    </row>
    <row r="2210" spans="6:7" x14ac:dyDescent="0.3">
      <c r="F2210" s="5"/>
      <c r="G2210" s="5"/>
    </row>
    <row r="2211" spans="6:7" x14ac:dyDescent="0.3">
      <c r="F2211" s="5"/>
      <c r="G2211" s="5"/>
    </row>
    <row r="2212" spans="6:7" x14ac:dyDescent="0.3">
      <c r="F2212" s="5"/>
      <c r="G2212" s="5"/>
    </row>
    <row r="2213" spans="6:7" x14ac:dyDescent="0.3">
      <c r="F2213" s="5"/>
      <c r="G2213" s="5"/>
    </row>
    <row r="2214" spans="6:7" x14ac:dyDescent="0.3">
      <c r="F2214" s="5"/>
      <c r="G2214" s="5"/>
    </row>
    <row r="2215" spans="6:7" x14ac:dyDescent="0.3">
      <c r="F2215" s="5"/>
      <c r="G2215" s="5"/>
    </row>
    <row r="2216" spans="6:7" x14ac:dyDescent="0.3">
      <c r="F2216" s="5"/>
      <c r="G2216" s="5"/>
    </row>
    <row r="2217" spans="6:7" x14ac:dyDescent="0.3">
      <c r="F2217" s="5"/>
      <c r="G2217" s="5"/>
    </row>
    <row r="2218" spans="6:7" x14ac:dyDescent="0.3">
      <c r="F2218" s="5"/>
      <c r="G2218" s="5"/>
    </row>
    <row r="2219" spans="6:7" x14ac:dyDescent="0.3">
      <c r="F2219" s="5"/>
      <c r="G2219" s="5"/>
    </row>
    <row r="2220" spans="6:7" x14ac:dyDescent="0.3">
      <c r="F2220" s="5"/>
      <c r="G2220" s="5"/>
    </row>
    <row r="2221" spans="6:7" x14ac:dyDescent="0.3">
      <c r="F2221" s="5"/>
      <c r="G2221" s="5"/>
    </row>
    <row r="2222" spans="6:7" x14ac:dyDescent="0.3">
      <c r="F2222" s="5"/>
      <c r="G2222" s="5"/>
    </row>
    <row r="2223" spans="6:7" x14ac:dyDescent="0.3">
      <c r="F2223" s="5"/>
      <c r="G2223" s="5"/>
    </row>
    <row r="2224" spans="6:7" x14ac:dyDescent="0.3">
      <c r="F2224" s="5"/>
      <c r="G2224" s="5"/>
    </row>
    <row r="2225" spans="6:7" x14ac:dyDescent="0.3">
      <c r="F2225" s="5"/>
      <c r="G2225" s="5"/>
    </row>
    <row r="2226" spans="6:7" x14ac:dyDescent="0.3">
      <c r="F2226" s="5"/>
      <c r="G2226" s="5"/>
    </row>
    <row r="2227" spans="6:7" x14ac:dyDescent="0.3">
      <c r="F2227" s="5"/>
      <c r="G2227" s="5"/>
    </row>
    <row r="2228" spans="6:7" x14ac:dyDescent="0.3">
      <c r="F2228" s="5"/>
      <c r="G2228" s="5"/>
    </row>
    <row r="2229" spans="6:7" x14ac:dyDescent="0.3">
      <c r="F2229" s="5"/>
      <c r="G2229" s="5"/>
    </row>
    <row r="2230" spans="6:7" x14ac:dyDescent="0.3">
      <c r="F2230" s="5"/>
      <c r="G2230" s="5"/>
    </row>
    <row r="2231" spans="6:7" x14ac:dyDescent="0.3">
      <c r="F2231" s="5"/>
      <c r="G2231" s="5"/>
    </row>
    <row r="2232" spans="6:7" x14ac:dyDescent="0.3">
      <c r="F2232" s="5"/>
      <c r="G2232" s="5"/>
    </row>
    <row r="2233" spans="6:7" x14ac:dyDescent="0.3">
      <c r="F2233" s="5"/>
      <c r="G2233" s="5"/>
    </row>
    <row r="2234" spans="6:7" x14ac:dyDescent="0.3">
      <c r="F2234" s="5"/>
      <c r="G2234" s="5"/>
    </row>
    <row r="2235" spans="6:7" x14ac:dyDescent="0.3">
      <c r="F2235" s="5"/>
      <c r="G2235" s="5"/>
    </row>
    <row r="2236" spans="6:7" x14ac:dyDescent="0.3">
      <c r="F2236" s="5"/>
      <c r="G2236" s="5"/>
    </row>
    <row r="2237" spans="6:7" x14ac:dyDescent="0.3">
      <c r="F2237" s="5"/>
      <c r="G2237" s="5"/>
    </row>
    <row r="2238" spans="6:7" x14ac:dyDescent="0.3">
      <c r="F2238" s="5"/>
      <c r="G2238" s="5"/>
    </row>
    <row r="2239" spans="6:7" x14ac:dyDescent="0.3">
      <c r="F2239" s="5"/>
      <c r="G2239" s="5"/>
    </row>
    <row r="2240" spans="6:7" x14ac:dyDescent="0.3">
      <c r="F2240" s="5"/>
      <c r="G2240" s="5"/>
    </row>
    <row r="2241" spans="6:7" x14ac:dyDescent="0.3">
      <c r="F2241" s="5"/>
      <c r="G2241" s="5"/>
    </row>
    <row r="2242" spans="6:7" x14ac:dyDescent="0.3">
      <c r="F2242" s="5"/>
      <c r="G2242" s="5"/>
    </row>
    <row r="2243" spans="6:7" x14ac:dyDescent="0.3">
      <c r="F2243" s="5"/>
      <c r="G2243" s="5"/>
    </row>
    <row r="2244" spans="6:7" x14ac:dyDescent="0.3">
      <c r="F2244" s="5"/>
      <c r="G2244" s="5"/>
    </row>
    <row r="2245" spans="6:7" x14ac:dyDescent="0.3">
      <c r="F2245" s="5"/>
      <c r="G2245" s="5"/>
    </row>
    <row r="2246" spans="6:7" x14ac:dyDescent="0.3">
      <c r="F2246" s="5"/>
      <c r="G2246" s="5"/>
    </row>
    <row r="2247" spans="6:7" x14ac:dyDescent="0.3">
      <c r="F2247" s="5"/>
      <c r="G2247" s="5"/>
    </row>
    <row r="2248" spans="6:7" x14ac:dyDescent="0.3">
      <c r="F2248" s="5"/>
      <c r="G2248" s="5"/>
    </row>
    <row r="2249" spans="6:7" x14ac:dyDescent="0.3">
      <c r="F2249" s="5"/>
      <c r="G2249" s="5"/>
    </row>
    <row r="2250" spans="6:7" x14ac:dyDescent="0.3">
      <c r="F2250" s="5"/>
      <c r="G2250" s="5"/>
    </row>
    <row r="2251" spans="6:7" x14ac:dyDescent="0.3">
      <c r="F2251" s="5"/>
      <c r="G2251" s="5"/>
    </row>
    <row r="2252" spans="6:7" x14ac:dyDescent="0.3">
      <c r="F2252" s="5"/>
      <c r="G2252" s="5"/>
    </row>
    <row r="2253" spans="6:7" x14ac:dyDescent="0.3">
      <c r="F2253" s="5"/>
      <c r="G2253" s="5"/>
    </row>
    <row r="2254" spans="6:7" x14ac:dyDescent="0.3">
      <c r="F2254" s="5"/>
      <c r="G2254" s="5"/>
    </row>
    <row r="2255" spans="6:7" x14ac:dyDescent="0.3">
      <c r="F2255" s="5"/>
      <c r="G2255" s="5"/>
    </row>
    <row r="2256" spans="6:7" x14ac:dyDescent="0.3">
      <c r="F2256" s="5"/>
      <c r="G2256" s="5"/>
    </row>
    <row r="2257" spans="6:7" x14ac:dyDescent="0.3">
      <c r="F2257" s="5"/>
      <c r="G2257" s="5"/>
    </row>
    <row r="2258" spans="6:7" x14ac:dyDescent="0.3">
      <c r="F2258" s="5"/>
      <c r="G2258" s="5"/>
    </row>
    <row r="2259" spans="6:7" x14ac:dyDescent="0.3">
      <c r="F2259" s="5"/>
      <c r="G2259" s="5"/>
    </row>
    <row r="2260" spans="6:7" x14ac:dyDescent="0.3">
      <c r="F2260" s="5"/>
      <c r="G2260" s="5"/>
    </row>
    <row r="2261" spans="6:7" x14ac:dyDescent="0.3">
      <c r="F2261" s="5"/>
      <c r="G2261" s="5"/>
    </row>
    <row r="2262" spans="6:7" x14ac:dyDescent="0.3">
      <c r="F2262" s="5"/>
      <c r="G2262" s="5"/>
    </row>
    <row r="2263" spans="6:7" x14ac:dyDescent="0.3">
      <c r="F2263" s="5"/>
      <c r="G2263" s="5"/>
    </row>
    <row r="2264" spans="6:7" x14ac:dyDescent="0.3">
      <c r="F2264" s="5"/>
      <c r="G2264" s="5"/>
    </row>
    <row r="2265" spans="6:7" x14ac:dyDescent="0.3">
      <c r="F2265" s="5"/>
      <c r="G2265" s="5"/>
    </row>
    <row r="2266" spans="6:7" x14ac:dyDescent="0.3">
      <c r="F2266" s="5"/>
      <c r="G2266" s="5"/>
    </row>
    <row r="2267" spans="6:7" x14ac:dyDescent="0.3">
      <c r="F2267" s="5"/>
      <c r="G2267" s="5"/>
    </row>
    <row r="2268" spans="6:7" x14ac:dyDescent="0.3">
      <c r="F2268" s="5"/>
      <c r="G2268" s="5"/>
    </row>
    <row r="2269" spans="6:7" x14ac:dyDescent="0.3">
      <c r="F2269" s="5"/>
      <c r="G2269" s="5"/>
    </row>
    <row r="2270" spans="6:7" x14ac:dyDescent="0.3">
      <c r="F2270" s="5"/>
      <c r="G2270" s="5"/>
    </row>
    <row r="2271" spans="6:7" x14ac:dyDescent="0.3">
      <c r="F2271" s="5"/>
      <c r="G2271" s="5"/>
    </row>
    <row r="2272" spans="6:7" x14ac:dyDescent="0.3">
      <c r="F2272" s="5"/>
      <c r="G2272" s="5"/>
    </row>
    <row r="2273" spans="6:7" x14ac:dyDescent="0.3">
      <c r="F2273" s="5"/>
      <c r="G2273" s="5"/>
    </row>
    <row r="2274" spans="6:7" x14ac:dyDescent="0.3">
      <c r="F2274" s="5"/>
      <c r="G2274" s="5"/>
    </row>
    <row r="2275" spans="6:7" x14ac:dyDescent="0.3">
      <c r="F2275" s="5"/>
      <c r="G2275" s="5"/>
    </row>
    <row r="2276" spans="6:7" x14ac:dyDescent="0.3">
      <c r="F2276" s="5"/>
      <c r="G2276" s="5"/>
    </row>
    <row r="2277" spans="6:7" x14ac:dyDescent="0.3">
      <c r="F2277" s="5"/>
      <c r="G2277" s="5"/>
    </row>
    <row r="2278" spans="6:7" x14ac:dyDescent="0.3">
      <c r="F2278" s="5"/>
      <c r="G2278" s="5"/>
    </row>
    <row r="2279" spans="6:7" x14ac:dyDescent="0.3">
      <c r="F2279" s="5"/>
      <c r="G2279" s="5"/>
    </row>
    <row r="2280" spans="6:7" x14ac:dyDescent="0.3">
      <c r="F2280" s="5"/>
      <c r="G2280" s="5"/>
    </row>
    <row r="2281" spans="6:7" x14ac:dyDescent="0.3">
      <c r="F2281" s="5"/>
      <c r="G2281" s="5"/>
    </row>
    <row r="2282" spans="6:7" x14ac:dyDescent="0.3">
      <c r="F2282" s="5"/>
      <c r="G2282" s="5"/>
    </row>
    <row r="2283" spans="6:7" x14ac:dyDescent="0.3">
      <c r="F2283" s="5"/>
      <c r="G2283" s="5"/>
    </row>
    <row r="2284" spans="6:7" x14ac:dyDescent="0.3">
      <c r="F2284" s="5"/>
      <c r="G2284" s="5"/>
    </row>
    <row r="2285" spans="6:7" x14ac:dyDescent="0.3">
      <c r="F2285" s="5"/>
      <c r="G2285" s="5"/>
    </row>
    <row r="2286" spans="6:7" x14ac:dyDescent="0.3">
      <c r="F2286" s="5"/>
      <c r="G2286" s="5"/>
    </row>
    <row r="2287" spans="6:7" x14ac:dyDescent="0.3">
      <c r="F2287" s="5"/>
      <c r="G2287" s="5"/>
    </row>
    <row r="2288" spans="6:7" x14ac:dyDescent="0.3">
      <c r="F2288" s="5"/>
      <c r="G2288" s="5"/>
    </row>
    <row r="2289" spans="6:7" x14ac:dyDescent="0.3">
      <c r="F2289" s="5"/>
      <c r="G2289" s="5"/>
    </row>
    <row r="2290" spans="6:7" x14ac:dyDescent="0.3">
      <c r="F2290" s="5"/>
      <c r="G2290" s="5"/>
    </row>
    <row r="2291" spans="6:7" x14ac:dyDescent="0.3">
      <c r="F2291" s="5"/>
      <c r="G2291" s="5"/>
    </row>
    <row r="2292" spans="6:7" x14ac:dyDescent="0.3">
      <c r="F2292" s="5"/>
      <c r="G2292" s="5"/>
    </row>
    <row r="2293" spans="6:7" x14ac:dyDescent="0.3">
      <c r="F2293" s="5"/>
      <c r="G2293" s="5"/>
    </row>
    <row r="2294" spans="6:7" x14ac:dyDescent="0.3">
      <c r="F2294" s="5"/>
      <c r="G2294" s="5"/>
    </row>
    <row r="2295" spans="6:7" x14ac:dyDescent="0.3">
      <c r="F2295" s="5"/>
      <c r="G2295" s="5"/>
    </row>
    <row r="2296" spans="6:7" x14ac:dyDescent="0.3">
      <c r="F2296" s="5"/>
      <c r="G2296" s="5"/>
    </row>
    <row r="2297" spans="6:7" x14ac:dyDescent="0.3">
      <c r="F2297" s="5"/>
      <c r="G2297" s="5"/>
    </row>
    <row r="2298" spans="6:7" x14ac:dyDescent="0.3">
      <c r="F2298" s="5"/>
      <c r="G2298" s="5"/>
    </row>
    <row r="2299" spans="6:7" x14ac:dyDescent="0.3">
      <c r="F2299" s="5"/>
      <c r="G2299" s="5"/>
    </row>
    <row r="2300" spans="6:7" x14ac:dyDescent="0.3">
      <c r="F2300" s="5"/>
      <c r="G2300" s="5"/>
    </row>
    <row r="2301" spans="6:7" x14ac:dyDescent="0.3">
      <c r="F2301" s="5"/>
      <c r="G2301" s="5"/>
    </row>
    <row r="2302" spans="6:7" x14ac:dyDescent="0.3">
      <c r="F2302" s="5"/>
      <c r="G2302" s="5"/>
    </row>
    <row r="2303" spans="6:7" x14ac:dyDescent="0.3">
      <c r="F2303" s="5"/>
      <c r="G2303" s="5"/>
    </row>
    <row r="2304" spans="6:7" x14ac:dyDescent="0.3">
      <c r="F2304" s="5"/>
      <c r="G2304" s="5"/>
    </row>
    <row r="2305" spans="6:7" x14ac:dyDescent="0.3">
      <c r="F2305" s="5"/>
      <c r="G2305" s="5"/>
    </row>
    <row r="2306" spans="6:7" x14ac:dyDescent="0.3">
      <c r="F2306" s="5"/>
      <c r="G2306" s="5"/>
    </row>
    <row r="2307" spans="6:7" x14ac:dyDescent="0.3">
      <c r="F2307" s="5"/>
      <c r="G2307" s="5"/>
    </row>
    <row r="2308" spans="6:7" x14ac:dyDescent="0.3">
      <c r="F2308" s="5"/>
      <c r="G2308" s="5"/>
    </row>
    <row r="2309" spans="6:7" x14ac:dyDescent="0.3">
      <c r="F2309" s="5"/>
      <c r="G2309" s="5"/>
    </row>
    <row r="2310" spans="6:7" x14ac:dyDescent="0.3">
      <c r="F2310" s="5"/>
      <c r="G2310" s="5"/>
    </row>
    <row r="2311" spans="6:7" x14ac:dyDescent="0.3">
      <c r="F2311" s="5"/>
      <c r="G2311" s="5"/>
    </row>
    <row r="2312" spans="6:7" x14ac:dyDescent="0.3">
      <c r="F2312" s="5"/>
      <c r="G2312" s="5"/>
    </row>
    <row r="2313" spans="6:7" x14ac:dyDescent="0.3">
      <c r="F2313" s="5"/>
      <c r="G2313" s="5"/>
    </row>
    <row r="2314" spans="6:7" x14ac:dyDescent="0.3">
      <c r="F2314" s="5"/>
      <c r="G2314" s="5"/>
    </row>
    <row r="2315" spans="6:7" x14ac:dyDescent="0.3">
      <c r="F2315" s="5"/>
      <c r="G2315" s="5"/>
    </row>
    <row r="2316" spans="6:7" x14ac:dyDescent="0.3">
      <c r="F2316" s="5"/>
      <c r="G2316" s="5"/>
    </row>
    <row r="2317" spans="6:7" x14ac:dyDescent="0.3">
      <c r="F2317" s="5"/>
      <c r="G2317" s="5"/>
    </row>
    <row r="2318" spans="6:7" x14ac:dyDescent="0.3">
      <c r="F2318" s="5"/>
      <c r="G2318" s="5"/>
    </row>
    <row r="2319" spans="6:7" x14ac:dyDescent="0.3">
      <c r="F2319" s="5"/>
      <c r="G2319" s="5"/>
    </row>
    <row r="2320" spans="6:7" x14ac:dyDescent="0.3">
      <c r="F2320" s="5"/>
      <c r="G2320" s="5"/>
    </row>
    <row r="2321" spans="6:7" x14ac:dyDescent="0.3">
      <c r="F2321" s="5"/>
      <c r="G2321" s="5"/>
    </row>
    <row r="2322" spans="6:7" x14ac:dyDescent="0.3">
      <c r="F2322" s="5"/>
      <c r="G2322" s="5"/>
    </row>
    <row r="2323" spans="6:7" x14ac:dyDescent="0.3">
      <c r="F2323" s="5"/>
      <c r="G2323" s="5"/>
    </row>
    <row r="2324" spans="6:7" x14ac:dyDescent="0.3">
      <c r="F2324" s="5"/>
      <c r="G2324" s="5"/>
    </row>
    <row r="2325" spans="6:7" x14ac:dyDescent="0.3">
      <c r="F2325" s="5"/>
      <c r="G2325" s="5"/>
    </row>
    <row r="2326" spans="6:7" x14ac:dyDescent="0.3">
      <c r="F2326" s="5"/>
      <c r="G2326" s="5"/>
    </row>
    <row r="2327" spans="6:7" x14ac:dyDescent="0.3">
      <c r="F2327" s="5"/>
      <c r="G2327" s="5"/>
    </row>
    <row r="2328" spans="6:7" x14ac:dyDescent="0.3">
      <c r="F2328" s="5"/>
      <c r="G2328" s="5"/>
    </row>
    <row r="2329" spans="6:7" x14ac:dyDescent="0.3">
      <c r="F2329" s="5"/>
      <c r="G2329" s="5"/>
    </row>
    <row r="2330" spans="6:7" x14ac:dyDescent="0.3">
      <c r="F2330" s="5"/>
      <c r="G2330" s="5"/>
    </row>
    <row r="2331" spans="6:7" x14ac:dyDescent="0.3">
      <c r="F2331" s="5"/>
      <c r="G2331" s="5"/>
    </row>
    <row r="2332" spans="6:7" x14ac:dyDescent="0.3">
      <c r="F2332" s="5"/>
      <c r="G2332" s="5"/>
    </row>
    <row r="2333" spans="6:7" x14ac:dyDescent="0.3">
      <c r="F2333" s="5"/>
      <c r="G2333" s="5"/>
    </row>
    <row r="2334" spans="6:7" x14ac:dyDescent="0.3">
      <c r="F2334" s="5"/>
      <c r="G2334" s="5"/>
    </row>
    <row r="2335" spans="6:7" x14ac:dyDescent="0.3">
      <c r="F2335" s="5"/>
      <c r="G2335" s="5"/>
    </row>
    <row r="2336" spans="6:7" x14ac:dyDescent="0.3">
      <c r="F2336" s="5"/>
      <c r="G2336" s="5"/>
    </row>
    <row r="2337" spans="6:7" x14ac:dyDescent="0.3">
      <c r="F2337" s="5"/>
      <c r="G2337" s="5"/>
    </row>
    <row r="2338" spans="6:7" x14ac:dyDescent="0.3">
      <c r="F2338" s="5"/>
      <c r="G2338" s="5"/>
    </row>
    <row r="2339" spans="6:7" x14ac:dyDescent="0.3">
      <c r="F2339" s="5"/>
      <c r="G2339" s="5"/>
    </row>
    <row r="2340" spans="6:7" x14ac:dyDescent="0.3">
      <c r="F2340" s="5"/>
      <c r="G2340" s="5"/>
    </row>
    <row r="2341" spans="6:7" x14ac:dyDescent="0.3">
      <c r="F2341" s="5"/>
      <c r="G2341" s="5"/>
    </row>
    <row r="2342" spans="6:7" x14ac:dyDescent="0.3">
      <c r="F2342" s="5"/>
      <c r="G2342" s="5"/>
    </row>
    <row r="2343" spans="6:7" x14ac:dyDescent="0.3">
      <c r="F2343" s="5"/>
      <c r="G2343" s="5"/>
    </row>
    <row r="2344" spans="6:7" x14ac:dyDescent="0.3">
      <c r="F2344" s="5"/>
      <c r="G2344" s="5"/>
    </row>
    <row r="2345" spans="6:7" x14ac:dyDescent="0.3">
      <c r="F2345" s="5"/>
      <c r="G2345" s="5"/>
    </row>
    <row r="2346" spans="6:7" x14ac:dyDescent="0.3">
      <c r="F2346" s="5"/>
      <c r="G2346" s="5"/>
    </row>
    <row r="2347" spans="6:7" x14ac:dyDescent="0.3">
      <c r="F2347" s="5"/>
      <c r="G2347" s="5"/>
    </row>
    <row r="2348" spans="6:7" x14ac:dyDescent="0.3">
      <c r="F2348" s="5"/>
      <c r="G2348" s="5"/>
    </row>
    <row r="2349" spans="6:7" x14ac:dyDescent="0.3">
      <c r="F2349" s="5"/>
      <c r="G2349" s="5"/>
    </row>
    <row r="2350" spans="6:7" x14ac:dyDescent="0.3">
      <c r="F2350" s="5"/>
      <c r="G2350" s="5"/>
    </row>
    <row r="2351" spans="6:7" x14ac:dyDescent="0.3">
      <c r="F2351" s="5"/>
      <c r="G2351" s="5"/>
    </row>
    <row r="2352" spans="6:7" x14ac:dyDescent="0.3">
      <c r="F2352" s="5"/>
      <c r="G2352" s="5"/>
    </row>
    <row r="2353" spans="6:7" x14ac:dyDescent="0.3">
      <c r="F2353" s="5"/>
      <c r="G2353" s="5"/>
    </row>
    <row r="2354" spans="6:7" x14ac:dyDescent="0.3">
      <c r="F2354" s="5"/>
      <c r="G2354" s="5"/>
    </row>
    <row r="2355" spans="6:7" x14ac:dyDescent="0.3">
      <c r="F2355" s="5"/>
      <c r="G2355" s="5"/>
    </row>
    <row r="2356" spans="6:7" x14ac:dyDescent="0.3">
      <c r="F2356" s="5"/>
      <c r="G2356" s="5"/>
    </row>
    <row r="2357" spans="6:7" x14ac:dyDescent="0.3">
      <c r="F2357" s="5"/>
      <c r="G2357" s="5"/>
    </row>
    <row r="2358" spans="6:7" x14ac:dyDescent="0.3">
      <c r="F2358" s="5"/>
      <c r="G2358" s="5"/>
    </row>
    <row r="2359" spans="6:7" x14ac:dyDescent="0.3">
      <c r="F2359" s="5"/>
      <c r="G2359" s="5"/>
    </row>
    <row r="2360" spans="6:7" x14ac:dyDescent="0.3">
      <c r="F2360" s="5"/>
      <c r="G2360" s="5"/>
    </row>
    <row r="2361" spans="6:7" x14ac:dyDescent="0.3">
      <c r="F2361" s="5"/>
      <c r="G2361" s="5"/>
    </row>
    <row r="2362" spans="6:7" x14ac:dyDescent="0.3">
      <c r="F2362" s="5"/>
      <c r="G2362" s="5"/>
    </row>
    <row r="2363" spans="6:7" x14ac:dyDescent="0.3">
      <c r="F2363" s="5"/>
      <c r="G2363" s="5"/>
    </row>
    <row r="2364" spans="6:7" x14ac:dyDescent="0.3">
      <c r="F2364" s="5"/>
      <c r="G2364" s="5"/>
    </row>
    <row r="2365" spans="6:7" x14ac:dyDescent="0.3">
      <c r="F2365" s="5"/>
      <c r="G2365" s="5"/>
    </row>
    <row r="2366" spans="6:7" x14ac:dyDescent="0.3">
      <c r="F2366" s="5"/>
      <c r="G2366" s="5"/>
    </row>
    <row r="2367" spans="6:7" x14ac:dyDescent="0.3">
      <c r="F2367" s="5"/>
      <c r="G2367" s="5"/>
    </row>
    <row r="2368" spans="6:7" x14ac:dyDescent="0.3">
      <c r="F2368" s="5"/>
      <c r="G2368" s="5"/>
    </row>
    <row r="2369" spans="6:7" x14ac:dyDescent="0.3">
      <c r="F2369" s="5"/>
      <c r="G2369" s="5"/>
    </row>
    <row r="2370" spans="6:7" x14ac:dyDescent="0.3">
      <c r="F2370" s="5"/>
      <c r="G2370" s="5"/>
    </row>
    <row r="2371" spans="6:7" x14ac:dyDescent="0.3">
      <c r="F2371" s="5"/>
      <c r="G2371" s="5"/>
    </row>
    <row r="2372" spans="6:7" x14ac:dyDescent="0.3">
      <c r="F2372" s="5"/>
      <c r="G2372" s="5"/>
    </row>
    <row r="2373" spans="6:7" x14ac:dyDescent="0.3">
      <c r="F2373" s="5"/>
      <c r="G2373" s="5"/>
    </row>
    <row r="2374" spans="6:7" x14ac:dyDescent="0.3">
      <c r="F2374" s="5"/>
      <c r="G2374" s="5"/>
    </row>
    <row r="2375" spans="6:7" x14ac:dyDescent="0.3">
      <c r="F2375" s="5"/>
      <c r="G2375" s="5"/>
    </row>
    <row r="2376" spans="6:7" x14ac:dyDescent="0.3">
      <c r="F2376" s="5"/>
      <c r="G2376" s="5"/>
    </row>
    <row r="2377" spans="6:7" x14ac:dyDescent="0.3">
      <c r="F2377" s="5"/>
      <c r="G2377" s="5"/>
    </row>
    <row r="2378" spans="6:7" x14ac:dyDescent="0.3">
      <c r="F2378" s="5"/>
      <c r="G2378" s="5"/>
    </row>
    <row r="2379" spans="6:7" x14ac:dyDescent="0.3">
      <c r="F2379" s="5"/>
      <c r="G2379" s="5"/>
    </row>
    <row r="2380" spans="6:7" x14ac:dyDescent="0.3">
      <c r="F2380" s="5"/>
      <c r="G2380" s="5"/>
    </row>
    <row r="2381" spans="6:7" x14ac:dyDescent="0.3">
      <c r="F2381" s="5"/>
      <c r="G2381" s="5"/>
    </row>
    <row r="2382" spans="6:7" x14ac:dyDescent="0.3">
      <c r="F2382" s="5"/>
      <c r="G2382" s="5"/>
    </row>
    <row r="2383" spans="6:7" x14ac:dyDescent="0.3">
      <c r="F2383" s="5"/>
      <c r="G2383" s="5"/>
    </row>
    <row r="2384" spans="6:7" x14ac:dyDescent="0.3">
      <c r="F2384" s="5"/>
      <c r="G2384" s="5"/>
    </row>
    <row r="2385" spans="6:7" x14ac:dyDescent="0.3">
      <c r="F2385" s="5"/>
      <c r="G2385" s="5"/>
    </row>
    <row r="2386" spans="6:7" x14ac:dyDescent="0.3">
      <c r="F2386" s="5"/>
      <c r="G2386" s="5"/>
    </row>
    <row r="2387" spans="6:7" x14ac:dyDescent="0.3">
      <c r="F2387" s="5"/>
      <c r="G2387" s="5"/>
    </row>
    <row r="2388" spans="6:7" x14ac:dyDescent="0.3">
      <c r="F2388" s="5"/>
      <c r="G2388" s="5"/>
    </row>
    <row r="2389" spans="6:7" x14ac:dyDescent="0.3">
      <c r="F2389" s="5"/>
      <c r="G2389" s="5"/>
    </row>
    <row r="2390" spans="6:7" x14ac:dyDescent="0.3">
      <c r="F2390" s="5"/>
      <c r="G2390" s="5"/>
    </row>
    <row r="2391" spans="6:7" x14ac:dyDescent="0.3">
      <c r="F2391" s="5"/>
      <c r="G2391" s="5"/>
    </row>
    <row r="2392" spans="6:7" x14ac:dyDescent="0.3">
      <c r="F2392" s="5"/>
      <c r="G2392" s="5"/>
    </row>
    <row r="2393" spans="6:7" x14ac:dyDescent="0.3">
      <c r="F2393" s="5"/>
      <c r="G2393" s="5"/>
    </row>
    <row r="2394" spans="6:7" x14ac:dyDescent="0.3">
      <c r="F2394" s="5"/>
      <c r="G2394" s="5"/>
    </row>
    <row r="2395" spans="6:7" x14ac:dyDescent="0.3">
      <c r="F2395" s="5"/>
      <c r="G2395" s="5"/>
    </row>
    <row r="2396" spans="6:7" x14ac:dyDescent="0.3">
      <c r="F2396" s="5"/>
      <c r="G2396" s="5"/>
    </row>
    <row r="2397" spans="6:7" x14ac:dyDescent="0.3">
      <c r="F2397" s="5"/>
      <c r="G2397" s="5"/>
    </row>
    <row r="2398" spans="6:7" x14ac:dyDescent="0.3">
      <c r="F2398" s="5"/>
      <c r="G2398" s="5"/>
    </row>
    <row r="2399" spans="6:7" x14ac:dyDescent="0.3">
      <c r="F2399" s="5"/>
      <c r="G2399" s="5"/>
    </row>
    <row r="2400" spans="6:7" x14ac:dyDescent="0.3">
      <c r="F2400" s="5"/>
      <c r="G2400" s="5"/>
    </row>
    <row r="2401" spans="6:7" x14ac:dyDescent="0.3">
      <c r="F2401" s="5"/>
      <c r="G2401" s="5"/>
    </row>
    <row r="2402" spans="6:7" x14ac:dyDescent="0.3">
      <c r="F2402" s="5"/>
      <c r="G2402" s="5"/>
    </row>
    <row r="2403" spans="6:7" x14ac:dyDescent="0.3">
      <c r="F2403" s="5"/>
      <c r="G240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0CFE2-AE2C-431C-AA3C-2AA30BE4B76D}">
  <dimension ref="A3:K26"/>
  <sheetViews>
    <sheetView topLeftCell="A6" workbookViewId="0">
      <selection activeCell="F54" sqref="F54"/>
    </sheetView>
  </sheetViews>
  <sheetFormatPr defaultRowHeight="14.4" x14ac:dyDescent="0.3"/>
  <cols>
    <col min="1" max="1" width="11.109375" bestFit="1" customWidth="1"/>
    <col min="2" max="2" width="12.44140625" bestFit="1" customWidth="1"/>
    <col min="3" max="3" width="14.21875" bestFit="1" customWidth="1"/>
    <col min="4" max="4" width="13.5546875" bestFit="1" customWidth="1"/>
    <col min="5" max="5" width="16.6640625" bestFit="1" customWidth="1"/>
    <col min="7" max="7" width="6.21875" bestFit="1" customWidth="1"/>
    <col min="8" max="8" width="11.44140625" bestFit="1" customWidth="1"/>
    <col min="9" max="9" width="7.33203125" bestFit="1" customWidth="1"/>
    <col min="10" max="10" width="10" bestFit="1" customWidth="1"/>
  </cols>
  <sheetData>
    <row r="3" spans="1:11" x14ac:dyDescent="0.3">
      <c r="A3" t="s">
        <v>2504</v>
      </c>
      <c r="B3" t="s">
        <v>2520</v>
      </c>
      <c r="C3" t="s">
        <v>2505</v>
      </c>
      <c r="D3" t="s">
        <v>2519</v>
      </c>
      <c r="E3" t="s">
        <v>2521</v>
      </c>
      <c r="G3" s="14" t="s">
        <v>2522</v>
      </c>
      <c r="H3" s="14"/>
      <c r="I3" s="14"/>
    </row>
    <row r="4" spans="1:11" x14ac:dyDescent="0.3">
      <c r="A4">
        <v>2400</v>
      </c>
      <c r="B4">
        <v>2.3424999999999998</v>
      </c>
      <c r="C4">
        <v>11997</v>
      </c>
      <c r="D4">
        <v>649019.80000000144</v>
      </c>
      <c r="E4">
        <v>3.9620833333333332</v>
      </c>
      <c r="G4" t="s">
        <v>2523</v>
      </c>
      <c r="H4" t="s">
        <v>2524</v>
      </c>
      <c r="I4" t="s">
        <v>2525</v>
      </c>
      <c r="J4" t="s">
        <v>2526</v>
      </c>
      <c r="K4" t="s">
        <v>2527</v>
      </c>
    </row>
    <row r="5" spans="1:11" x14ac:dyDescent="0.3">
      <c r="G5" t="str">
        <f>TEXT(A4,"#,##")</f>
        <v>2,400</v>
      </c>
      <c r="H5" t="str">
        <f>TEXT(B4,"0.0")</f>
        <v>2.3</v>
      </c>
      <c r="I5" t="str">
        <f t="shared" ref="I5" si="0">TEXT(C4,"#,##")</f>
        <v>11,997</v>
      </c>
      <c r="J5" t="str">
        <f>TEXT(D4,"$#,##,.0k")</f>
        <v>$649.0k</v>
      </c>
      <c r="K5" t="str">
        <f>TEXT(E4,"0.0")</f>
        <v>4.0</v>
      </c>
    </row>
    <row r="12" spans="1:11" x14ac:dyDescent="0.3">
      <c r="B12" s="7" t="s">
        <v>2533</v>
      </c>
      <c r="C12" t="s">
        <v>2518</v>
      </c>
      <c r="D12" t="s">
        <v>2519</v>
      </c>
    </row>
    <row r="13" spans="1:11" x14ac:dyDescent="0.3">
      <c r="B13" s="8">
        <v>1</v>
      </c>
      <c r="C13">
        <v>546</v>
      </c>
      <c r="D13" s="9">
        <v>32413.300000000003</v>
      </c>
    </row>
    <row r="14" spans="1:11" x14ac:dyDescent="0.3">
      <c r="B14" s="8">
        <v>2</v>
      </c>
      <c r="C14">
        <v>905</v>
      </c>
      <c r="D14" s="9">
        <v>49562.999999999993</v>
      </c>
    </row>
    <row r="15" spans="1:11" x14ac:dyDescent="0.3">
      <c r="B15" s="8">
        <v>3</v>
      </c>
      <c r="C15">
        <v>796</v>
      </c>
      <c r="D15" s="9">
        <v>41700.400000000016</v>
      </c>
    </row>
    <row r="16" spans="1:11" x14ac:dyDescent="0.3">
      <c r="B16" s="8">
        <v>4</v>
      </c>
      <c r="C16">
        <v>913</v>
      </c>
      <c r="D16" s="9">
        <v>46782.599999999984</v>
      </c>
    </row>
    <row r="17" spans="2:4" x14ac:dyDescent="0.3">
      <c r="B17" s="8">
        <v>5</v>
      </c>
      <c r="C17">
        <v>844</v>
      </c>
      <c r="D17" s="9">
        <v>42676.100000000006</v>
      </c>
    </row>
    <row r="18" spans="2:4" x14ac:dyDescent="0.3">
      <c r="B18" s="8">
        <v>6</v>
      </c>
      <c r="C18">
        <v>1202</v>
      </c>
      <c r="D18" s="9">
        <v>62910.7</v>
      </c>
    </row>
    <row r="19" spans="2:4" x14ac:dyDescent="0.3">
      <c r="B19" s="8">
        <v>7</v>
      </c>
      <c r="C19">
        <v>935</v>
      </c>
      <c r="D19" s="9">
        <v>50332.200000000004</v>
      </c>
    </row>
    <row r="20" spans="2:4" x14ac:dyDescent="0.3">
      <c r="B20" s="8">
        <v>8</v>
      </c>
      <c r="C20">
        <v>1128</v>
      </c>
      <c r="D20" s="9">
        <v>58760.599999999977</v>
      </c>
    </row>
    <row r="21" spans="2:4" x14ac:dyDescent="0.3">
      <c r="B21" s="8">
        <v>9</v>
      </c>
      <c r="C21">
        <v>1007</v>
      </c>
      <c r="D21" s="9">
        <v>52017.299999999996</v>
      </c>
    </row>
    <row r="22" spans="2:4" x14ac:dyDescent="0.3">
      <c r="B22" s="8">
        <v>10</v>
      </c>
      <c r="C22">
        <v>1128</v>
      </c>
      <c r="D22" s="9">
        <v>64915.700000000033</v>
      </c>
    </row>
    <row r="23" spans="2:4" x14ac:dyDescent="0.3">
      <c r="B23" s="8">
        <v>11</v>
      </c>
      <c r="C23">
        <v>861</v>
      </c>
      <c r="D23" s="9">
        <v>45943.80000000001</v>
      </c>
    </row>
    <row r="24" spans="2:4" x14ac:dyDescent="0.3">
      <c r="B24" s="8">
        <v>12</v>
      </c>
      <c r="C24">
        <v>944</v>
      </c>
      <c r="D24" s="9">
        <v>55077.900000000031</v>
      </c>
    </row>
    <row r="25" spans="2:4" x14ac:dyDescent="0.3">
      <c r="B25" s="8">
        <v>13</v>
      </c>
      <c r="C25">
        <v>788</v>
      </c>
      <c r="D25" s="9">
        <v>45926.19999999999</v>
      </c>
    </row>
    <row r="26" spans="2:4" x14ac:dyDescent="0.3">
      <c r="B26" s="8" t="s">
        <v>2534</v>
      </c>
      <c r="C26">
        <v>11997</v>
      </c>
      <c r="D26" s="9">
        <v>649019.79999999993</v>
      </c>
    </row>
  </sheetData>
  <mergeCells count="1">
    <mergeCell ref="G3:I3"/>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EB2F-8ACC-4C41-BB45-909EBCC7BF24}">
  <dimension ref="A3:L10"/>
  <sheetViews>
    <sheetView showGridLines="0" workbookViewId="0">
      <selection activeCell="J7" sqref="J7"/>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 min="11" max="11" width="6.109375" bestFit="1" customWidth="1"/>
  </cols>
  <sheetData>
    <row r="3" spans="1:12" x14ac:dyDescent="0.3">
      <c r="A3" s="7" t="s">
        <v>2519</v>
      </c>
      <c r="B3" s="7" t="s">
        <v>2535</v>
      </c>
    </row>
    <row r="4" spans="1:12" ht="25.2" customHeight="1" thickBot="1" x14ac:dyDescent="0.35">
      <c r="A4" s="7" t="s">
        <v>2533</v>
      </c>
      <c r="B4" t="s">
        <v>2530</v>
      </c>
      <c r="C4" t="s">
        <v>2529</v>
      </c>
      <c r="D4" t="s">
        <v>2531</v>
      </c>
      <c r="E4" t="s">
        <v>2528</v>
      </c>
      <c r="F4" t="s">
        <v>2534</v>
      </c>
      <c r="I4" t="str">
        <f>B4</f>
        <v>Female</v>
      </c>
      <c r="J4" t="str">
        <f t="shared" ref="J4:L4" si="0">C4</f>
        <v>Male</v>
      </c>
      <c r="K4" t="str">
        <f t="shared" si="0"/>
        <v>Other</v>
      </c>
      <c r="L4" t="str">
        <f t="shared" si="0"/>
        <v>Unknown</v>
      </c>
    </row>
    <row r="5" spans="1:12" ht="25.2" customHeight="1" thickTop="1" thickBot="1" x14ac:dyDescent="0.35">
      <c r="A5" s="8" t="s">
        <v>18</v>
      </c>
      <c r="B5" s="10">
        <v>0.18961825201634841</v>
      </c>
      <c r="C5" s="10">
        <v>0.12262322351336576</v>
      </c>
      <c r="D5" s="10">
        <v>1.060537752469185E-2</v>
      </c>
      <c r="E5" s="10">
        <v>3.0599220547662797E-2</v>
      </c>
      <c r="F5" s="10">
        <v>0.35344607360206881</v>
      </c>
      <c r="H5" t="str">
        <f>A5</f>
        <v>App</v>
      </c>
      <c r="I5" s="11">
        <f>B5</f>
        <v>0.18961825201634841</v>
      </c>
      <c r="J5" s="11">
        <f t="shared" ref="I5:L9" si="1">C5</f>
        <v>0.12262322351336576</v>
      </c>
      <c r="K5" s="11">
        <f t="shared" si="1"/>
        <v>1.060537752469185E-2</v>
      </c>
      <c r="L5" s="11">
        <f t="shared" si="1"/>
        <v>3.0599220547662797E-2</v>
      </c>
    </row>
    <row r="6" spans="1:12" ht="21" customHeight="1" thickTop="1" thickBot="1" x14ac:dyDescent="0.35">
      <c r="A6" s="8" t="s">
        <v>51</v>
      </c>
      <c r="B6" s="10">
        <v>5.0283982091147303E-2</v>
      </c>
      <c r="C6" s="10">
        <v>4.3060781812819873E-2</v>
      </c>
      <c r="D6" s="10">
        <v>1.5320025675641944E-3</v>
      </c>
      <c r="E6" s="10">
        <v>1.7794988689097006E-2</v>
      </c>
      <c r="F6" s="10">
        <v>0.11267175516062837</v>
      </c>
      <c r="H6" t="str">
        <f t="shared" ref="H6:H9" si="2">A6</f>
        <v>Instagram</v>
      </c>
      <c r="I6" s="11">
        <f t="shared" si="1"/>
        <v>5.0283982091147303E-2</v>
      </c>
      <c r="J6" s="11">
        <f t="shared" si="1"/>
        <v>4.3060781812819873E-2</v>
      </c>
      <c r="K6" s="11">
        <f t="shared" si="1"/>
        <v>1.5320025675641944E-3</v>
      </c>
      <c r="L6" s="11">
        <f t="shared" si="1"/>
        <v>1.7794988689097006E-2</v>
      </c>
    </row>
    <row r="7" spans="1:12" ht="26.4" customHeight="1" thickTop="1" thickBot="1" x14ac:dyDescent="0.35">
      <c r="A7" s="8" t="s">
        <v>70</v>
      </c>
      <c r="B7" s="10">
        <v>6.3496059750411282E-2</v>
      </c>
      <c r="C7" s="10">
        <v>4.6071629863988765E-2</v>
      </c>
      <c r="D7" s="10">
        <v>2.306247051322625E-3</v>
      </c>
      <c r="E7" s="10">
        <v>3.8927934093844286E-3</v>
      </c>
      <c r="F7" s="10">
        <v>0.11576673007510711</v>
      </c>
      <c r="H7" t="str">
        <f t="shared" si="2"/>
        <v>Partner App</v>
      </c>
      <c r="I7" s="11">
        <f t="shared" si="1"/>
        <v>6.3496059750411282E-2</v>
      </c>
      <c r="J7" s="11">
        <f t="shared" si="1"/>
        <v>4.6071629863988765E-2</v>
      </c>
      <c r="K7" s="11">
        <f t="shared" si="1"/>
        <v>2.306247051322625E-3</v>
      </c>
      <c r="L7" s="11">
        <f t="shared" si="1"/>
        <v>3.8927934093844286E-3</v>
      </c>
    </row>
    <row r="8" spans="1:12" ht="23.4" customHeight="1" thickTop="1" thickBot="1" x14ac:dyDescent="0.35">
      <c r="A8" s="8" t="s">
        <v>40</v>
      </c>
      <c r="B8" s="10">
        <v>9.6337892927149532E-2</v>
      </c>
      <c r="C8" s="10">
        <v>6.7920115842382611E-2</v>
      </c>
      <c r="D8" s="10">
        <v>5.4979832664581261E-3</v>
      </c>
      <c r="E8" s="10">
        <v>1.2933041488102518E-2</v>
      </c>
      <c r="F8" s="10">
        <v>0.1826890335240928</v>
      </c>
      <c r="H8" t="str">
        <f t="shared" si="2"/>
        <v>Target.com</v>
      </c>
      <c r="I8" s="11">
        <f t="shared" si="1"/>
        <v>9.6337892927149532E-2</v>
      </c>
      <c r="J8" s="11">
        <f t="shared" si="1"/>
        <v>6.7920115842382611E-2</v>
      </c>
      <c r="K8" s="11">
        <f t="shared" si="1"/>
        <v>5.4979832664581261E-3</v>
      </c>
      <c r="L8" s="11">
        <f t="shared" si="1"/>
        <v>1.2933041488102518E-2</v>
      </c>
    </row>
    <row r="9" spans="1:12" ht="20.399999999999999" customHeight="1" thickTop="1" thickBot="1" x14ac:dyDescent="0.35">
      <c r="A9" s="8" t="s">
        <v>35</v>
      </c>
      <c r="B9" s="10">
        <v>0.12522098709469262</v>
      </c>
      <c r="C9" s="10">
        <v>9.1492740283116228E-2</v>
      </c>
      <c r="D9" s="10">
        <v>6.3042760790965081E-3</v>
      </c>
      <c r="E9" s="10">
        <v>1.2408404181197551E-2</v>
      </c>
      <c r="F9" s="10">
        <v>0.23542640763810288</v>
      </c>
      <c r="H9" t="str">
        <f t="shared" si="2"/>
        <v>Website</v>
      </c>
      <c r="I9" s="11">
        <f t="shared" si="1"/>
        <v>0.12522098709469262</v>
      </c>
      <c r="J9" s="11">
        <f t="shared" si="1"/>
        <v>9.1492740283116228E-2</v>
      </c>
      <c r="K9" s="11">
        <f t="shared" si="1"/>
        <v>6.3042760790965081E-3</v>
      </c>
      <c r="L9" s="11">
        <f t="shared" si="1"/>
        <v>1.2408404181197551E-2</v>
      </c>
    </row>
    <row r="10" spans="1:12" ht="15" thickTop="1" x14ac:dyDescent="0.3">
      <c r="A10" s="8" t="s">
        <v>2534</v>
      </c>
      <c r="B10" s="10">
        <v>0.52495717387974916</v>
      </c>
      <c r="C10" s="10">
        <v>0.3711684913156732</v>
      </c>
      <c r="D10" s="10">
        <v>2.6245886489133303E-2</v>
      </c>
      <c r="E10" s="10">
        <v>7.7628448315444312E-2</v>
      </c>
      <c r="F10" s="10">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72ED-D265-4953-885B-8774F40A1599}">
  <dimension ref="A2:T24"/>
  <sheetViews>
    <sheetView topLeftCell="A16" zoomScale="89" zoomScaleNormal="105" workbookViewId="0">
      <selection activeCell="P11" sqref="P11"/>
    </sheetView>
  </sheetViews>
  <sheetFormatPr defaultRowHeight="14.4" x14ac:dyDescent="0.3"/>
  <cols>
    <col min="1" max="1" width="10.5546875" bestFit="1" customWidth="1"/>
    <col min="2" max="2" width="12.21875" bestFit="1" customWidth="1"/>
    <col min="15" max="15" width="19.109375" bestFit="1" customWidth="1"/>
    <col min="16" max="16" width="15.5546875" bestFit="1" customWidth="1"/>
    <col min="17" max="17" width="5" bestFit="1" customWidth="1"/>
    <col min="18" max="18" width="5.6640625" bestFit="1" customWidth="1"/>
    <col min="19" max="19" width="8.5546875" bestFit="1" customWidth="1"/>
    <col min="20" max="20" width="10.5546875" bestFit="1" customWidth="1"/>
  </cols>
  <sheetData>
    <row r="2" spans="1:20" x14ac:dyDescent="0.3">
      <c r="O2" s="7" t="s">
        <v>2518</v>
      </c>
      <c r="P2" s="7" t="s">
        <v>2535</v>
      </c>
    </row>
    <row r="3" spans="1:20" x14ac:dyDescent="0.3">
      <c r="A3" s="7" t="s">
        <v>2537</v>
      </c>
      <c r="B3" t="s">
        <v>2536</v>
      </c>
      <c r="O3" s="7" t="s">
        <v>2537</v>
      </c>
      <c r="P3" t="s">
        <v>2530</v>
      </c>
      <c r="Q3" t="s">
        <v>2529</v>
      </c>
      <c r="R3" t="s">
        <v>2531</v>
      </c>
      <c r="S3" t="s">
        <v>2528</v>
      </c>
      <c r="T3" t="s">
        <v>2534</v>
      </c>
    </row>
    <row r="4" spans="1:20" x14ac:dyDescent="0.3">
      <c r="A4" s="8">
        <v>0</v>
      </c>
      <c r="B4">
        <v>175</v>
      </c>
      <c r="O4" s="8" t="s">
        <v>44</v>
      </c>
      <c r="P4">
        <v>744</v>
      </c>
      <c r="Q4">
        <v>713</v>
      </c>
      <c r="R4">
        <v>90</v>
      </c>
      <c r="S4">
        <v>98</v>
      </c>
      <c r="T4">
        <v>1645</v>
      </c>
    </row>
    <row r="5" spans="1:20" x14ac:dyDescent="0.3">
      <c r="A5" s="8">
        <v>1</v>
      </c>
      <c r="B5">
        <v>888</v>
      </c>
      <c r="O5" s="8" t="s">
        <v>39</v>
      </c>
      <c r="P5">
        <v>716</v>
      </c>
      <c r="Q5">
        <v>598</v>
      </c>
      <c r="R5">
        <v>18</v>
      </c>
      <c r="S5">
        <v>214</v>
      </c>
      <c r="T5">
        <v>1546</v>
      </c>
    </row>
    <row r="6" spans="1:20" x14ac:dyDescent="0.3">
      <c r="A6" s="8">
        <v>2</v>
      </c>
      <c r="B6">
        <v>538</v>
      </c>
      <c r="O6" s="8" t="s">
        <v>26</v>
      </c>
      <c r="P6">
        <v>627</v>
      </c>
      <c r="Q6">
        <v>393</v>
      </c>
      <c r="R6">
        <v>29</v>
      </c>
      <c r="S6">
        <v>137</v>
      </c>
      <c r="T6">
        <v>1186</v>
      </c>
    </row>
    <row r="7" spans="1:20" x14ac:dyDescent="0.3">
      <c r="A7" s="8">
        <v>3</v>
      </c>
      <c r="B7">
        <v>344</v>
      </c>
      <c r="O7" s="8" t="s">
        <v>22</v>
      </c>
      <c r="P7">
        <v>568</v>
      </c>
      <c r="Q7">
        <v>306</v>
      </c>
      <c r="R7">
        <v>22</v>
      </c>
      <c r="S7">
        <v>16</v>
      </c>
      <c r="T7">
        <v>912</v>
      </c>
    </row>
    <row r="8" spans="1:20" x14ac:dyDescent="0.3">
      <c r="A8" s="8">
        <v>4</v>
      </c>
      <c r="B8">
        <v>200</v>
      </c>
      <c r="O8" s="8" t="s">
        <v>54</v>
      </c>
      <c r="P8">
        <v>482</v>
      </c>
      <c r="Q8">
        <v>295</v>
      </c>
      <c r="R8">
        <v>8</v>
      </c>
      <c r="S8">
        <v>22</v>
      </c>
      <c r="T8">
        <v>807</v>
      </c>
    </row>
    <row r="9" spans="1:20" x14ac:dyDescent="0.3">
      <c r="A9" s="8">
        <v>5</v>
      </c>
      <c r="B9">
        <v>94</v>
      </c>
      <c r="O9" s="8" t="s">
        <v>16</v>
      </c>
      <c r="P9">
        <v>428</v>
      </c>
      <c r="Q9">
        <v>293</v>
      </c>
      <c r="S9">
        <v>24</v>
      </c>
      <c r="T9">
        <v>745</v>
      </c>
    </row>
    <row r="10" spans="1:20" x14ac:dyDescent="0.3">
      <c r="A10" s="8">
        <v>6</v>
      </c>
      <c r="B10">
        <v>51</v>
      </c>
      <c r="O10" s="8" t="s">
        <v>46</v>
      </c>
      <c r="P10">
        <v>445</v>
      </c>
      <c r="Q10">
        <v>202</v>
      </c>
      <c r="R10">
        <v>14</v>
      </c>
      <c r="S10">
        <v>39</v>
      </c>
      <c r="T10">
        <v>700</v>
      </c>
    </row>
    <row r="11" spans="1:20" x14ac:dyDescent="0.3">
      <c r="A11" s="8">
        <v>7</v>
      </c>
      <c r="B11">
        <v>32</v>
      </c>
      <c r="O11" s="8" t="s">
        <v>32</v>
      </c>
      <c r="P11">
        <v>431</v>
      </c>
      <c r="Q11">
        <v>187</v>
      </c>
      <c r="R11">
        <v>14</v>
      </c>
      <c r="S11">
        <v>15</v>
      </c>
      <c r="T11">
        <v>647</v>
      </c>
    </row>
    <row r="12" spans="1:20" x14ac:dyDescent="0.3">
      <c r="A12" s="8">
        <v>8</v>
      </c>
      <c r="B12">
        <v>23</v>
      </c>
      <c r="O12" s="8" t="s">
        <v>42</v>
      </c>
      <c r="P12">
        <v>264</v>
      </c>
      <c r="Q12">
        <v>318</v>
      </c>
      <c r="R12">
        <v>15</v>
      </c>
      <c r="S12">
        <v>9</v>
      </c>
      <c r="T12">
        <v>606</v>
      </c>
    </row>
    <row r="13" spans="1:20" x14ac:dyDescent="0.3">
      <c r="A13" s="8">
        <v>9</v>
      </c>
      <c r="B13">
        <v>9</v>
      </c>
      <c r="O13" s="8" t="s">
        <v>37</v>
      </c>
      <c r="P13">
        <v>296</v>
      </c>
      <c r="Q13">
        <v>275</v>
      </c>
      <c r="R13">
        <v>9</v>
      </c>
      <c r="S13">
        <v>23</v>
      </c>
      <c r="T13">
        <v>603</v>
      </c>
    </row>
    <row r="14" spans="1:20" x14ac:dyDescent="0.3">
      <c r="A14" s="8">
        <v>10</v>
      </c>
      <c r="B14">
        <v>8</v>
      </c>
      <c r="O14" s="8" t="s">
        <v>123</v>
      </c>
      <c r="P14">
        <v>153</v>
      </c>
      <c r="Q14">
        <v>246</v>
      </c>
      <c r="R14">
        <v>30</v>
      </c>
      <c r="S14">
        <v>8</v>
      </c>
      <c r="T14">
        <v>437</v>
      </c>
    </row>
    <row r="15" spans="1:20" x14ac:dyDescent="0.3">
      <c r="A15" s="8">
        <v>11</v>
      </c>
      <c r="B15">
        <v>11</v>
      </c>
      <c r="O15" s="8" t="s">
        <v>146</v>
      </c>
      <c r="P15">
        <v>189</v>
      </c>
      <c r="Q15">
        <v>168</v>
      </c>
      <c r="R15">
        <v>10</v>
      </c>
      <c r="S15">
        <v>31</v>
      </c>
      <c r="T15">
        <v>398</v>
      </c>
    </row>
    <row r="16" spans="1:20" x14ac:dyDescent="0.3">
      <c r="A16" s="8">
        <v>12</v>
      </c>
      <c r="B16">
        <v>4</v>
      </c>
      <c r="O16" s="8" t="s">
        <v>69</v>
      </c>
      <c r="P16">
        <v>234</v>
      </c>
      <c r="Q16">
        <v>93</v>
      </c>
      <c r="R16">
        <v>19</v>
      </c>
      <c r="S16">
        <v>24</v>
      </c>
      <c r="T16">
        <v>370</v>
      </c>
    </row>
    <row r="17" spans="1:20" x14ac:dyDescent="0.3">
      <c r="A17" s="8">
        <v>13</v>
      </c>
      <c r="B17">
        <v>10</v>
      </c>
      <c r="O17" s="8" t="s">
        <v>30</v>
      </c>
      <c r="P17">
        <v>146</v>
      </c>
      <c r="Q17">
        <v>94</v>
      </c>
      <c r="R17">
        <v>4</v>
      </c>
      <c r="S17">
        <v>28</v>
      </c>
      <c r="T17">
        <v>272</v>
      </c>
    </row>
    <row r="18" spans="1:20" x14ac:dyDescent="0.3">
      <c r="A18" s="8">
        <v>14</v>
      </c>
      <c r="B18">
        <v>13</v>
      </c>
      <c r="O18" s="8" t="s">
        <v>135</v>
      </c>
      <c r="P18">
        <v>127</v>
      </c>
      <c r="Q18">
        <v>118</v>
      </c>
      <c r="R18">
        <v>13</v>
      </c>
      <c r="S18">
        <v>12</v>
      </c>
      <c r="T18">
        <v>270</v>
      </c>
    </row>
    <row r="19" spans="1:20" x14ac:dyDescent="0.3">
      <c r="A19" s="8" t="s">
        <v>2534</v>
      </c>
      <c r="B19">
        <v>2400</v>
      </c>
      <c r="O19" s="8" t="s">
        <v>67</v>
      </c>
      <c r="P19">
        <v>179</v>
      </c>
      <c r="Q19">
        <v>76</v>
      </c>
      <c r="R19">
        <v>3</v>
      </c>
      <c r="T19">
        <v>258</v>
      </c>
    </row>
    <row r="20" spans="1:20" x14ac:dyDescent="0.3">
      <c r="O20" s="8" t="s">
        <v>128</v>
      </c>
      <c r="P20">
        <v>99</v>
      </c>
      <c r="Q20">
        <v>69</v>
      </c>
      <c r="R20">
        <v>3</v>
      </c>
      <c r="S20">
        <v>24</v>
      </c>
      <c r="T20">
        <v>195</v>
      </c>
    </row>
    <row r="21" spans="1:20" x14ac:dyDescent="0.3">
      <c r="O21" s="8" t="s">
        <v>76</v>
      </c>
      <c r="P21">
        <v>75</v>
      </c>
      <c r="Q21">
        <v>103</v>
      </c>
      <c r="R21">
        <v>4</v>
      </c>
      <c r="S21">
        <v>6</v>
      </c>
      <c r="T21">
        <v>188</v>
      </c>
    </row>
    <row r="22" spans="1:20" x14ac:dyDescent="0.3">
      <c r="O22" s="8" t="s">
        <v>81</v>
      </c>
      <c r="P22">
        <v>43</v>
      </c>
      <c r="Q22">
        <v>90</v>
      </c>
      <c r="R22">
        <v>8</v>
      </c>
      <c r="S22">
        <v>6</v>
      </c>
      <c r="T22">
        <v>147</v>
      </c>
    </row>
    <row r="23" spans="1:20" x14ac:dyDescent="0.3">
      <c r="O23" s="8" t="s">
        <v>171</v>
      </c>
      <c r="P23">
        <v>26</v>
      </c>
      <c r="Q23">
        <v>35</v>
      </c>
      <c r="R23">
        <v>4</v>
      </c>
      <c r="T23">
        <v>65</v>
      </c>
    </row>
    <row r="24" spans="1:20" x14ac:dyDescent="0.3">
      <c r="O24" s="8" t="s">
        <v>2534</v>
      </c>
      <c r="P24">
        <v>6272</v>
      </c>
      <c r="Q24">
        <v>4672</v>
      </c>
      <c r="R24">
        <v>317</v>
      </c>
      <c r="S24">
        <v>736</v>
      </c>
      <c r="T24">
        <v>11997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5A207-FEFD-4757-8EB2-9D3A1497C6D7}">
  <dimension ref="A3:B23"/>
  <sheetViews>
    <sheetView workbookViewId="0">
      <selection activeCell="A17" sqref="A17"/>
    </sheetView>
  </sheetViews>
  <sheetFormatPr defaultRowHeight="14.4" x14ac:dyDescent="0.3"/>
  <cols>
    <col min="1" max="1" width="12.44140625" bestFit="1" customWidth="1"/>
    <col min="2" max="2" width="14.21875" bestFit="1" customWidth="1"/>
  </cols>
  <sheetData>
    <row r="3" spans="1:2" x14ac:dyDescent="0.3">
      <c r="A3" s="7" t="s">
        <v>2533</v>
      </c>
      <c r="B3" t="s">
        <v>2518</v>
      </c>
    </row>
    <row r="4" spans="1:2" x14ac:dyDescent="0.3">
      <c r="A4" s="8" t="s">
        <v>2530</v>
      </c>
      <c r="B4">
        <v>6272</v>
      </c>
    </row>
    <row r="5" spans="1:2" x14ac:dyDescent="0.3">
      <c r="A5" s="8" t="s">
        <v>2529</v>
      </c>
      <c r="B5">
        <v>4672</v>
      </c>
    </row>
    <row r="6" spans="1:2" x14ac:dyDescent="0.3">
      <c r="A6" s="8" t="s">
        <v>2531</v>
      </c>
      <c r="B6">
        <v>317</v>
      </c>
    </row>
    <row r="7" spans="1:2" x14ac:dyDescent="0.3">
      <c r="A7" s="8" t="s">
        <v>2528</v>
      </c>
      <c r="B7">
        <v>736</v>
      </c>
    </row>
    <row r="8" spans="1:2" x14ac:dyDescent="0.3">
      <c r="A8" s="8" t="s">
        <v>2534</v>
      </c>
      <c r="B8">
        <v>11997</v>
      </c>
    </row>
    <row r="15" spans="1:2" x14ac:dyDescent="0.3">
      <c r="A15" t="s">
        <v>2538</v>
      </c>
    </row>
    <row r="17" spans="1:2" x14ac:dyDescent="0.3">
      <c r="A17" s="7" t="s">
        <v>2533</v>
      </c>
      <c r="B17" t="s">
        <v>2536</v>
      </c>
    </row>
    <row r="18" spans="1:2" x14ac:dyDescent="0.3">
      <c r="A18" s="8">
        <v>1</v>
      </c>
      <c r="B18">
        <v>21</v>
      </c>
    </row>
    <row r="19" spans="1:2" x14ac:dyDescent="0.3">
      <c r="A19" s="8">
        <v>2</v>
      </c>
      <c r="B19">
        <v>127</v>
      </c>
    </row>
    <row r="20" spans="1:2" x14ac:dyDescent="0.3">
      <c r="A20" s="8">
        <v>3</v>
      </c>
      <c r="B20">
        <v>495</v>
      </c>
    </row>
    <row r="21" spans="1:2" x14ac:dyDescent="0.3">
      <c r="A21" s="8">
        <v>4</v>
      </c>
      <c r="B21">
        <v>1036</v>
      </c>
    </row>
    <row r="22" spans="1:2" x14ac:dyDescent="0.3">
      <c r="A22" s="8">
        <v>5</v>
      </c>
      <c r="B22">
        <v>721</v>
      </c>
    </row>
    <row r="23" spans="1:2" x14ac:dyDescent="0.3">
      <c r="A23" s="8" t="s">
        <v>2534</v>
      </c>
      <c r="B23">
        <v>2400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7D4C-054F-4937-B17B-6EA4FCAA0281}">
  <dimension ref="A3:M65"/>
  <sheetViews>
    <sheetView topLeftCell="A19" zoomScale="59" workbookViewId="0">
      <selection activeCell="O57" sqref="O57"/>
    </sheetView>
  </sheetViews>
  <sheetFormatPr defaultRowHeight="14.4" x14ac:dyDescent="0.3"/>
  <cols>
    <col min="1" max="1" width="22.77734375" bestFit="1" customWidth="1"/>
    <col min="2" max="2" width="25.88671875" bestFit="1" customWidth="1"/>
    <col min="3" max="3" width="20.77734375" bestFit="1" customWidth="1"/>
    <col min="4" max="4" width="19.88671875" bestFit="1" customWidth="1"/>
    <col min="8" max="8" width="19.6640625" bestFit="1" customWidth="1"/>
    <col min="9" max="9" width="14.21875" bestFit="1" customWidth="1"/>
    <col min="12" max="12" width="19.6640625" bestFit="1" customWidth="1"/>
    <col min="13" max="13" width="14.21875" bestFit="1" customWidth="1"/>
  </cols>
  <sheetData>
    <row r="3" spans="1:13" x14ac:dyDescent="0.3">
      <c r="A3" s="7" t="s">
        <v>10</v>
      </c>
      <c r="B3" s="7" t="s">
        <v>11</v>
      </c>
      <c r="C3" t="s">
        <v>2518</v>
      </c>
      <c r="D3" t="s">
        <v>2519</v>
      </c>
    </row>
    <row r="4" spans="1:13" x14ac:dyDescent="0.3">
      <c r="A4" t="s">
        <v>19</v>
      </c>
      <c r="B4" t="s">
        <v>115</v>
      </c>
      <c r="C4">
        <v>579</v>
      </c>
      <c r="D4">
        <v>31884.999999999996</v>
      </c>
    </row>
    <row r="5" spans="1:13" x14ac:dyDescent="0.3">
      <c r="A5" t="s">
        <v>19</v>
      </c>
      <c r="B5" t="s">
        <v>20</v>
      </c>
      <c r="C5">
        <v>1</v>
      </c>
      <c r="D5">
        <v>10.9</v>
      </c>
    </row>
    <row r="6" spans="1:13" x14ac:dyDescent="0.3">
      <c r="A6" t="s">
        <v>19</v>
      </c>
      <c r="B6" t="s">
        <v>641</v>
      </c>
      <c r="C6">
        <v>9</v>
      </c>
      <c r="D6">
        <v>800.3</v>
      </c>
    </row>
    <row r="7" spans="1:13" x14ac:dyDescent="0.3">
      <c r="A7" t="s">
        <v>19</v>
      </c>
      <c r="B7" t="s">
        <v>967</v>
      </c>
      <c r="C7">
        <v>35</v>
      </c>
      <c r="D7">
        <v>1062.5999999999999</v>
      </c>
      <c r="G7" s="12" t="s">
        <v>10</v>
      </c>
      <c r="H7" s="12" t="s">
        <v>11</v>
      </c>
      <c r="I7" s="12" t="s">
        <v>2518</v>
      </c>
      <c r="K7" s="12" t="s">
        <v>10</v>
      </c>
      <c r="L7" s="12" t="s">
        <v>11</v>
      </c>
      <c r="M7" s="12" t="s">
        <v>2519</v>
      </c>
    </row>
    <row r="8" spans="1:13" x14ac:dyDescent="0.3">
      <c r="A8" t="s">
        <v>19</v>
      </c>
      <c r="B8" t="s">
        <v>84</v>
      </c>
      <c r="C8">
        <v>12</v>
      </c>
      <c r="D8">
        <v>326.20000000000005</v>
      </c>
      <c r="G8" s="6" t="s">
        <v>19</v>
      </c>
      <c r="H8" t="s">
        <v>115</v>
      </c>
      <c r="I8">
        <v>579</v>
      </c>
      <c r="K8" s="6" t="s">
        <v>19</v>
      </c>
      <c r="L8" t="s">
        <v>115</v>
      </c>
      <c r="M8">
        <v>31884.999999999996</v>
      </c>
    </row>
    <row r="9" spans="1:13" x14ac:dyDescent="0.3">
      <c r="A9" t="s">
        <v>19</v>
      </c>
      <c r="B9" t="s">
        <v>1383</v>
      </c>
      <c r="C9">
        <v>4</v>
      </c>
      <c r="D9">
        <v>167.5</v>
      </c>
      <c r="G9" s="6" t="s">
        <v>19</v>
      </c>
      <c r="H9" t="s">
        <v>20</v>
      </c>
      <c r="I9">
        <v>1</v>
      </c>
      <c r="K9" s="6" t="s">
        <v>19</v>
      </c>
      <c r="L9" t="s">
        <v>20</v>
      </c>
      <c r="M9">
        <v>10.9</v>
      </c>
    </row>
    <row r="10" spans="1:13" x14ac:dyDescent="0.3">
      <c r="A10" t="s">
        <v>19</v>
      </c>
      <c r="B10" t="s">
        <v>24</v>
      </c>
      <c r="C10">
        <v>341</v>
      </c>
      <c r="D10">
        <v>16168.7</v>
      </c>
      <c r="G10" s="6" t="s">
        <v>19</v>
      </c>
      <c r="H10" t="s">
        <v>641</v>
      </c>
      <c r="I10">
        <v>9</v>
      </c>
      <c r="K10" s="6" t="s">
        <v>19</v>
      </c>
      <c r="L10" t="s">
        <v>641</v>
      </c>
      <c r="M10">
        <v>800.3</v>
      </c>
    </row>
    <row r="11" spans="1:13" x14ac:dyDescent="0.3">
      <c r="A11" t="s">
        <v>19</v>
      </c>
      <c r="B11" t="s">
        <v>2204</v>
      </c>
      <c r="C11">
        <v>13</v>
      </c>
      <c r="D11">
        <v>322.40000000000003</v>
      </c>
      <c r="G11" s="6" t="s">
        <v>19</v>
      </c>
      <c r="H11" t="s">
        <v>967</v>
      </c>
      <c r="I11">
        <v>35</v>
      </c>
      <c r="K11" s="6" t="s">
        <v>19</v>
      </c>
      <c r="L11" t="s">
        <v>967</v>
      </c>
      <c r="M11">
        <v>1062.5999999999999</v>
      </c>
    </row>
    <row r="12" spans="1:13" x14ac:dyDescent="0.3">
      <c r="A12" t="s">
        <v>19</v>
      </c>
      <c r="B12" t="s">
        <v>437</v>
      </c>
      <c r="C12">
        <v>31</v>
      </c>
      <c r="D12">
        <v>2092.8000000000002</v>
      </c>
      <c r="G12" s="6" t="s">
        <v>19</v>
      </c>
      <c r="H12" t="s">
        <v>84</v>
      </c>
      <c r="I12">
        <v>12</v>
      </c>
      <c r="K12" s="6" t="s">
        <v>19</v>
      </c>
      <c r="L12" t="s">
        <v>84</v>
      </c>
      <c r="M12">
        <v>326.20000000000005</v>
      </c>
    </row>
    <row r="13" spans="1:13" x14ac:dyDescent="0.3">
      <c r="A13" t="s">
        <v>19</v>
      </c>
      <c r="B13" t="s">
        <v>28</v>
      </c>
      <c r="C13">
        <v>279</v>
      </c>
      <c r="D13">
        <v>12662.500000000002</v>
      </c>
      <c r="G13" s="6" t="s">
        <v>19</v>
      </c>
      <c r="H13" t="s">
        <v>1383</v>
      </c>
      <c r="I13">
        <v>4</v>
      </c>
      <c r="K13" s="6" t="s">
        <v>19</v>
      </c>
      <c r="L13" t="s">
        <v>1383</v>
      </c>
      <c r="M13">
        <v>167.5</v>
      </c>
    </row>
    <row r="14" spans="1:13" x14ac:dyDescent="0.3">
      <c r="A14" t="s">
        <v>19</v>
      </c>
      <c r="B14" t="s">
        <v>208</v>
      </c>
      <c r="C14">
        <v>9</v>
      </c>
      <c r="D14">
        <v>343.2</v>
      </c>
      <c r="G14" s="6" t="s">
        <v>19</v>
      </c>
      <c r="H14" t="s">
        <v>24</v>
      </c>
      <c r="I14">
        <v>341</v>
      </c>
      <c r="K14" s="6" t="s">
        <v>19</v>
      </c>
      <c r="L14" t="s">
        <v>24</v>
      </c>
      <c r="M14">
        <v>16168.7</v>
      </c>
    </row>
    <row r="15" spans="1:13" x14ac:dyDescent="0.3">
      <c r="A15" t="s">
        <v>19</v>
      </c>
      <c r="B15" t="s">
        <v>587</v>
      </c>
      <c r="C15">
        <v>49</v>
      </c>
      <c r="D15">
        <v>2188.2999999999997</v>
      </c>
      <c r="G15" s="6" t="s">
        <v>19</v>
      </c>
      <c r="H15" t="s">
        <v>2204</v>
      </c>
      <c r="I15">
        <v>13</v>
      </c>
      <c r="K15" s="6" t="s">
        <v>19</v>
      </c>
      <c r="L15" t="s">
        <v>2204</v>
      </c>
      <c r="M15">
        <v>322.40000000000003</v>
      </c>
    </row>
    <row r="16" spans="1:13" x14ac:dyDescent="0.3">
      <c r="A16" t="s">
        <v>19</v>
      </c>
      <c r="B16" t="s">
        <v>331</v>
      </c>
      <c r="C16">
        <v>59</v>
      </c>
      <c r="D16">
        <v>2661.5999999999995</v>
      </c>
      <c r="G16" s="6" t="s">
        <v>19</v>
      </c>
      <c r="H16" t="s">
        <v>437</v>
      </c>
      <c r="I16">
        <v>31</v>
      </c>
      <c r="K16" s="6" t="s">
        <v>19</v>
      </c>
      <c r="L16" t="s">
        <v>437</v>
      </c>
      <c r="M16">
        <v>2092.8000000000002</v>
      </c>
    </row>
    <row r="17" spans="1:13" x14ac:dyDescent="0.3">
      <c r="A17" t="s">
        <v>19</v>
      </c>
      <c r="B17" t="s">
        <v>86</v>
      </c>
      <c r="C17">
        <v>8</v>
      </c>
      <c r="D17">
        <v>887.5</v>
      </c>
      <c r="G17" s="6" t="s">
        <v>19</v>
      </c>
      <c r="H17" t="s">
        <v>28</v>
      </c>
      <c r="I17">
        <v>279</v>
      </c>
      <c r="K17" s="6" t="s">
        <v>19</v>
      </c>
      <c r="L17" t="s">
        <v>28</v>
      </c>
      <c r="M17">
        <v>12662.500000000002</v>
      </c>
    </row>
    <row r="18" spans="1:13" x14ac:dyDescent="0.3">
      <c r="A18" t="s">
        <v>19</v>
      </c>
      <c r="B18" t="s">
        <v>147</v>
      </c>
      <c r="C18">
        <v>222</v>
      </c>
      <c r="D18">
        <v>11354.199999999993</v>
      </c>
      <c r="G18" s="6" t="s">
        <v>19</v>
      </c>
      <c r="H18" t="s">
        <v>208</v>
      </c>
      <c r="I18">
        <v>9</v>
      </c>
      <c r="K18" s="6" t="s">
        <v>19</v>
      </c>
      <c r="L18" t="s">
        <v>208</v>
      </c>
      <c r="M18">
        <v>343.2</v>
      </c>
    </row>
    <row r="19" spans="1:13" x14ac:dyDescent="0.3">
      <c r="A19" t="s">
        <v>19</v>
      </c>
      <c r="B19" t="s">
        <v>334</v>
      </c>
      <c r="C19">
        <v>36</v>
      </c>
      <c r="D19">
        <v>1558.4</v>
      </c>
      <c r="G19" s="6" t="s">
        <v>19</v>
      </c>
      <c r="H19" t="s">
        <v>587</v>
      </c>
      <c r="I19">
        <v>49</v>
      </c>
      <c r="K19" s="6" t="s">
        <v>19</v>
      </c>
      <c r="L19" t="s">
        <v>587</v>
      </c>
      <c r="M19">
        <v>2188.2999999999997</v>
      </c>
    </row>
    <row r="20" spans="1:13" x14ac:dyDescent="0.3">
      <c r="A20" t="s">
        <v>19</v>
      </c>
      <c r="B20" t="s">
        <v>949</v>
      </c>
      <c r="C20">
        <v>30</v>
      </c>
      <c r="D20">
        <v>2223.9</v>
      </c>
      <c r="G20" s="6" t="s">
        <v>19</v>
      </c>
      <c r="H20" t="s">
        <v>331</v>
      </c>
      <c r="I20">
        <v>59</v>
      </c>
      <c r="K20" s="6" t="s">
        <v>19</v>
      </c>
      <c r="L20" t="s">
        <v>331</v>
      </c>
      <c r="M20">
        <v>2661.5999999999995</v>
      </c>
    </row>
    <row r="21" spans="1:13" x14ac:dyDescent="0.3">
      <c r="A21" t="s">
        <v>19</v>
      </c>
      <c r="B21" t="s">
        <v>1426</v>
      </c>
      <c r="C21">
        <v>1</v>
      </c>
      <c r="D21">
        <v>26.2</v>
      </c>
      <c r="G21" s="6" t="s">
        <v>19</v>
      </c>
      <c r="H21" t="s">
        <v>86</v>
      </c>
      <c r="I21">
        <v>8</v>
      </c>
      <c r="K21" s="6" t="s">
        <v>19</v>
      </c>
      <c r="L21" t="s">
        <v>86</v>
      </c>
      <c r="M21">
        <v>887.5</v>
      </c>
    </row>
    <row r="22" spans="1:13" x14ac:dyDescent="0.3">
      <c r="A22" t="s">
        <v>19</v>
      </c>
      <c r="B22" t="s">
        <v>33</v>
      </c>
      <c r="C22">
        <v>3991</v>
      </c>
      <c r="D22">
        <v>215551.19999999981</v>
      </c>
      <c r="G22" s="6" t="s">
        <v>19</v>
      </c>
      <c r="H22" t="s">
        <v>147</v>
      </c>
      <c r="I22">
        <v>222</v>
      </c>
      <c r="K22" s="6" t="s">
        <v>19</v>
      </c>
      <c r="L22" t="s">
        <v>147</v>
      </c>
      <c r="M22">
        <v>11354.199999999993</v>
      </c>
    </row>
    <row r="23" spans="1:13" x14ac:dyDescent="0.3">
      <c r="A23" t="s">
        <v>19</v>
      </c>
      <c r="B23" t="s">
        <v>364</v>
      </c>
      <c r="C23">
        <v>45</v>
      </c>
      <c r="D23">
        <v>2687.3999999999996</v>
      </c>
      <c r="G23" s="6" t="s">
        <v>19</v>
      </c>
      <c r="H23" t="s">
        <v>334</v>
      </c>
      <c r="I23">
        <v>36</v>
      </c>
      <c r="K23" s="6" t="s">
        <v>19</v>
      </c>
      <c r="L23" t="s">
        <v>334</v>
      </c>
      <c r="M23">
        <v>1558.4</v>
      </c>
    </row>
    <row r="24" spans="1:13" x14ac:dyDescent="0.3">
      <c r="A24" t="s">
        <v>19</v>
      </c>
      <c r="B24" t="s">
        <v>545</v>
      </c>
      <c r="C24">
        <v>39</v>
      </c>
      <c r="D24">
        <v>1463.3000000000002</v>
      </c>
      <c r="G24" s="6" t="s">
        <v>19</v>
      </c>
      <c r="H24" t="s">
        <v>949</v>
      </c>
      <c r="I24">
        <v>30</v>
      </c>
      <c r="K24" s="6" t="s">
        <v>19</v>
      </c>
      <c r="L24" t="s">
        <v>949</v>
      </c>
      <c r="M24">
        <v>2223.9</v>
      </c>
    </row>
    <row r="25" spans="1:13" x14ac:dyDescent="0.3">
      <c r="A25" t="s">
        <v>19</v>
      </c>
      <c r="B25" t="s">
        <v>416</v>
      </c>
      <c r="C25">
        <v>6</v>
      </c>
      <c r="D25">
        <v>445.79999999999995</v>
      </c>
      <c r="G25" s="6" t="s">
        <v>19</v>
      </c>
      <c r="H25" t="s">
        <v>1426</v>
      </c>
      <c r="I25">
        <v>1</v>
      </c>
      <c r="K25" s="6" t="s">
        <v>19</v>
      </c>
      <c r="L25" t="s">
        <v>1426</v>
      </c>
      <c r="M25">
        <v>26.2</v>
      </c>
    </row>
    <row r="26" spans="1:13" x14ac:dyDescent="0.3">
      <c r="A26" t="s">
        <v>19</v>
      </c>
      <c r="B26" t="s">
        <v>258</v>
      </c>
      <c r="C26">
        <v>9</v>
      </c>
      <c r="D26">
        <v>273.59999999999997</v>
      </c>
      <c r="G26" s="6" t="s">
        <v>19</v>
      </c>
      <c r="H26" t="s">
        <v>33</v>
      </c>
      <c r="I26">
        <v>3991</v>
      </c>
      <c r="K26" s="6" t="s">
        <v>19</v>
      </c>
      <c r="L26" t="s">
        <v>33</v>
      </c>
      <c r="M26">
        <v>215551.19999999981</v>
      </c>
    </row>
    <row r="27" spans="1:13" x14ac:dyDescent="0.3">
      <c r="A27" t="s">
        <v>19</v>
      </c>
      <c r="B27" t="s">
        <v>186</v>
      </c>
      <c r="C27">
        <v>60</v>
      </c>
      <c r="D27">
        <v>2690.4</v>
      </c>
      <c r="G27" s="6" t="s">
        <v>19</v>
      </c>
      <c r="H27" t="s">
        <v>364</v>
      </c>
      <c r="I27">
        <v>45</v>
      </c>
      <c r="K27" s="6" t="s">
        <v>19</v>
      </c>
      <c r="L27" t="s">
        <v>364</v>
      </c>
      <c r="M27">
        <v>2687.3999999999996</v>
      </c>
    </row>
    <row r="28" spans="1:13" x14ac:dyDescent="0.3">
      <c r="A28" t="s">
        <v>19</v>
      </c>
      <c r="B28" t="s">
        <v>392</v>
      </c>
      <c r="C28">
        <v>2</v>
      </c>
      <c r="D28">
        <v>28.4</v>
      </c>
      <c r="G28" s="6" t="s">
        <v>19</v>
      </c>
      <c r="H28" t="s">
        <v>545</v>
      </c>
      <c r="I28">
        <v>39</v>
      </c>
      <c r="K28" s="6" t="s">
        <v>19</v>
      </c>
      <c r="L28" t="s">
        <v>545</v>
      </c>
      <c r="M28">
        <v>1463.3000000000002</v>
      </c>
    </row>
    <row r="29" spans="1:13" x14ac:dyDescent="0.3">
      <c r="A29" t="s">
        <v>19</v>
      </c>
      <c r="B29" t="s">
        <v>670</v>
      </c>
      <c r="C29">
        <v>4</v>
      </c>
      <c r="D29">
        <v>204.8</v>
      </c>
      <c r="G29" s="6" t="s">
        <v>19</v>
      </c>
      <c r="H29" t="s">
        <v>416</v>
      </c>
      <c r="I29">
        <v>6</v>
      </c>
      <c r="K29" s="6" t="s">
        <v>19</v>
      </c>
      <c r="L29" t="s">
        <v>416</v>
      </c>
      <c r="M29">
        <v>445.79999999999995</v>
      </c>
    </row>
    <row r="30" spans="1:13" x14ac:dyDescent="0.3">
      <c r="A30" t="s">
        <v>19</v>
      </c>
      <c r="B30" t="s">
        <v>802</v>
      </c>
      <c r="C30">
        <v>31</v>
      </c>
      <c r="D30">
        <v>1607.8999999999999</v>
      </c>
      <c r="G30" s="6" t="s">
        <v>19</v>
      </c>
      <c r="H30" t="s">
        <v>258</v>
      </c>
      <c r="I30">
        <v>9</v>
      </c>
      <c r="K30" s="6" t="s">
        <v>19</v>
      </c>
      <c r="L30" t="s">
        <v>258</v>
      </c>
      <c r="M30">
        <v>273.59999999999997</v>
      </c>
    </row>
    <row r="31" spans="1:13" x14ac:dyDescent="0.3">
      <c r="A31" t="s">
        <v>19</v>
      </c>
      <c r="B31" t="s">
        <v>98</v>
      </c>
      <c r="C31">
        <v>88</v>
      </c>
      <c r="D31">
        <v>6444.9</v>
      </c>
      <c r="G31" s="6" t="s">
        <v>19</v>
      </c>
      <c r="H31" t="s">
        <v>186</v>
      </c>
      <c r="I31">
        <v>60</v>
      </c>
      <c r="K31" s="6" t="s">
        <v>19</v>
      </c>
      <c r="L31" t="s">
        <v>186</v>
      </c>
      <c r="M31">
        <v>2690.4</v>
      </c>
    </row>
    <row r="32" spans="1:13" x14ac:dyDescent="0.3">
      <c r="A32" t="s">
        <v>19</v>
      </c>
      <c r="B32" t="s">
        <v>49</v>
      </c>
      <c r="C32">
        <v>25</v>
      </c>
      <c r="D32">
        <v>1809.3</v>
      </c>
      <c r="G32" s="6" t="s">
        <v>19</v>
      </c>
      <c r="H32" t="s">
        <v>392</v>
      </c>
      <c r="I32">
        <v>2</v>
      </c>
      <c r="K32" s="6" t="s">
        <v>19</v>
      </c>
      <c r="L32" t="s">
        <v>392</v>
      </c>
      <c r="M32">
        <v>28.4</v>
      </c>
    </row>
    <row r="33" spans="1:13" x14ac:dyDescent="0.3">
      <c r="A33" t="s">
        <v>19</v>
      </c>
      <c r="B33" t="s">
        <v>188</v>
      </c>
      <c r="C33">
        <v>178</v>
      </c>
      <c r="D33">
        <v>9680.399999999996</v>
      </c>
      <c r="G33" s="6" t="s">
        <v>19</v>
      </c>
      <c r="H33" t="s">
        <v>670</v>
      </c>
      <c r="I33">
        <v>4</v>
      </c>
      <c r="K33" s="6" t="s">
        <v>19</v>
      </c>
      <c r="L33" t="s">
        <v>670</v>
      </c>
      <c r="M33">
        <v>204.8</v>
      </c>
    </row>
    <row r="34" spans="1:13" x14ac:dyDescent="0.3">
      <c r="A34" t="s">
        <v>19</v>
      </c>
      <c r="B34" t="s">
        <v>52</v>
      </c>
      <c r="C34">
        <v>141</v>
      </c>
      <c r="D34">
        <v>9414.7999999999993</v>
      </c>
      <c r="G34" s="6" t="s">
        <v>19</v>
      </c>
      <c r="H34" t="s">
        <v>802</v>
      </c>
      <c r="I34">
        <v>31</v>
      </c>
      <c r="K34" s="6" t="s">
        <v>19</v>
      </c>
      <c r="L34" t="s">
        <v>802</v>
      </c>
      <c r="M34">
        <v>1607.8999999999999</v>
      </c>
    </row>
    <row r="35" spans="1:13" x14ac:dyDescent="0.3">
      <c r="A35" t="s">
        <v>19</v>
      </c>
      <c r="B35" t="s">
        <v>338</v>
      </c>
      <c r="C35">
        <v>6</v>
      </c>
      <c r="D35">
        <v>206.1</v>
      </c>
      <c r="G35" s="6" t="s">
        <v>19</v>
      </c>
      <c r="H35" t="s">
        <v>98</v>
      </c>
      <c r="I35">
        <v>88</v>
      </c>
      <c r="K35" s="6" t="s">
        <v>19</v>
      </c>
      <c r="L35" t="s">
        <v>98</v>
      </c>
      <c r="M35">
        <v>6444.9</v>
      </c>
    </row>
    <row r="36" spans="1:13" x14ac:dyDescent="0.3">
      <c r="A36" t="s">
        <v>19</v>
      </c>
      <c r="B36" t="s">
        <v>158</v>
      </c>
      <c r="C36">
        <v>178</v>
      </c>
      <c r="D36">
        <v>7691.3</v>
      </c>
      <c r="G36" s="6" t="s">
        <v>19</v>
      </c>
      <c r="H36" t="s">
        <v>49</v>
      </c>
      <c r="I36">
        <v>25</v>
      </c>
      <c r="K36" s="6" t="s">
        <v>19</v>
      </c>
      <c r="L36" t="s">
        <v>49</v>
      </c>
      <c r="M36">
        <v>1809.3</v>
      </c>
    </row>
    <row r="37" spans="1:13" x14ac:dyDescent="0.3">
      <c r="A37" t="s">
        <v>19</v>
      </c>
      <c r="B37" t="s">
        <v>55</v>
      </c>
      <c r="C37">
        <v>699</v>
      </c>
      <c r="D37">
        <v>37784.900000000016</v>
      </c>
      <c r="G37" s="6" t="s">
        <v>19</v>
      </c>
      <c r="H37" t="s">
        <v>188</v>
      </c>
      <c r="I37">
        <v>178</v>
      </c>
      <c r="K37" s="6" t="s">
        <v>19</v>
      </c>
      <c r="L37" t="s">
        <v>188</v>
      </c>
      <c r="M37">
        <v>9680.399999999996</v>
      </c>
    </row>
    <row r="38" spans="1:13" x14ac:dyDescent="0.3">
      <c r="A38" t="s">
        <v>19</v>
      </c>
      <c r="B38" t="s">
        <v>342</v>
      </c>
      <c r="C38">
        <v>23</v>
      </c>
      <c r="D38">
        <v>1129.7</v>
      </c>
      <c r="G38" s="6" t="s">
        <v>19</v>
      </c>
      <c r="H38" t="s">
        <v>52</v>
      </c>
      <c r="I38">
        <v>141</v>
      </c>
      <c r="K38" s="6" t="s">
        <v>19</v>
      </c>
      <c r="L38" t="s">
        <v>52</v>
      </c>
      <c r="M38">
        <v>9414.7999999999993</v>
      </c>
    </row>
    <row r="39" spans="1:13" x14ac:dyDescent="0.3">
      <c r="A39" t="s">
        <v>19</v>
      </c>
      <c r="B39" t="s">
        <v>59</v>
      </c>
      <c r="C39">
        <v>356</v>
      </c>
      <c r="D39">
        <v>20988.9</v>
      </c>
      <c r="G39" s="6" t="s">
        <v>19</v>
      </c>
      <c r="H39" t="s">
        <v>338</v>
      </c>
      <c r="I39">
        <v>6</v>
      </c>
      <c r="K39" s="6" t="s">
        <v>19</v>
      </c>
      <c r="L39" t="s">
        <v>338</v>
      </c>
      <c r="M39">
        <v>206.1</v>
      </c>
    </row>
    <row r="40" spans="1:13" x14ac:dyDescent="0.3">
      <c r="A40" t="s">
        <v>19</v>
      </c>
      <c r="B40" t="s">
        <v>62</v>
      </c>
      <c r="C40">
        <v>1768</v>
      </c>
      <c r="D40">
        <v>98367.099999999977</v>
      </c>
      <c r="G40" s="6" t="s">
        <v>19</v>
      </c>
      <c r="H40" t="s">
        <v>158</v>
      </c>
      <c r="I40">
        <v>178</v>
      </c>
      <c r="K40" s="6" t="s">
        <v>19</v>
      </c>
      <c r="L40" t="s">
        <v>158</v>
      </c>
      <c r="M40">
        <v>7691.3</v>
      </c>
    </row>
    <row r="41" spans="1:13" x14ac:dyDescent="0.3">
      <c r="A41" t="s">
        <v>19</v>
      </c>
      <c r="B41" t="s">
        <v>103</v>
      </c>
      <c r="C41">
        <v>307</v>
      </c>
      <c r="D41">
        <v>21911.9</v>
      </c>
      <c r="G41" s="6" t="s">
        <v>19</v>
      </c>
      <c r="H41" t="s">
        <v>55</v>
      </c>
      <c r="I41">
        <v>699</v>
      </c>
      <c r="K41" s="6" t="s">
        <v>19</v>
      </c>
      <c r="L41" t="s">
        <v>55</v>
      </c>
      <c r="M41">
        <v>37784.900000000016</v>
      </c>
    </row>
    <row r="42" spans="1:13" x14ac:dyDescent="0.3">
      <c r="A42" t="s">
        <v>19</v>
      </c>
      <c r="B42" t="s">
        <v>201</v>
      </c>
      <c r="C42">
        <v>117</v>
      </c>
      <c r="D42">
        <v>5441.2</v>
      </c>
      <c r="G42" s="6" t="s">
        <v>19</v>
      </c>
      <c r="H42" t="s">
        <v>342</v>
      </c>
      <c r="I42">
        <v>23</v>
      </c>
      <c r="K42" s="6" t="s">
        <v>19</v>
      </c>
      <c r="L42" t="s">
        <v>342</v>
      </c>
      <c r="M42">
        <v>1129.7</v>
      </c>
    </row>
    <row r="43" spans="1:13" x14ac:dyDescent="0.3">
      <c r="A43" t="s">
        <v>19</v>
      </c>
      <c r="B43" t="s">
        <v>429</v>
      </c>
      <c r="C43">
        <v>13</v>
      </c>
      <c r="D43">
        <v>392.8</v>
      </c>
      <c r="G43" s="6" t="s">
        <v>19</v>
      </c>
      <c r="H43" t="s">
        <v>59</v>
      </c>
      <c r="I43">
        <v>356</v>
      </c>
      <c r="K43" s="6" t="s">
        <v>19</v>
      </c>
      <c r="L43" t="s">
        <v>59</v>
      </c>
      <c r="M43">
        <v>20988.9</v>
      </c>
    </row>
    <row r="44" spans="1:13" x14ac:dyDescent="0.3">
      <c r="A44" t="s">
        <v>19</v>
      </c>
      <c r="B44" t="s">
        <v>72</v>
      </c>
      <c r="C44">
        <v>364</v>
      </c>
      <c r="D44">
        <v>16172.000000000005</v>
      </c>
      <c r="G44" s="6" t="s">
        <v>19</v>
      </c>
      <c r="H44" t="s">
        <v>62</v>
      </c>
      <c r="I44">
        <v>1768</v>
      </c>
      <c r="K44" s="6" t="s">
        <v>19</v>
      </c>
      <c r="L44" t="s">
        <v>62</v>
      </c>
      <c r="M44">
        <v>98367.099999999977</v>
      </c>
    </row>
    <row r="45" spans="1:13" x14ac:dyDescent="0.3">
      <c r="A45" t="s">
        <v>19</v>
      </c>
      <c r="B45" t="s">
        <v>74</v>
      </c>
      <c r="C45">
        <v>95</v>
      </c>
      <c r="D45">
        <v>4334.9999999999991</v>
      </c>
      <c r="G45" s="6" t="s">
        <v>19</v>
      </c>
      <c r="H45" t="s">
        <v>103</v>
      </c>
      <c r="I45">
        <v>307</v>
      </c>
      <c r="K45" s="6" t="s">
        <v>19</v>
      </c>
      <c r="L45" t="s">
        <v>103</v>
      </c>
      <c r="M45">
        <v>21911.9</v>
      </c>
    </row>
    <row r="46" spans="1:13" x14ac:dyDescent="0.3">
      <c r="A46" t="s">
        <v>19</v>
      </c>
      <c r="B46" t="s">
        <v>77</v>
      </c>
      <c r="C46">
        <v>737</v>
      </c>
      <c r="D46">
        <v>37449.000000000007</v>
      </c>
      <c r="G46" s="6" t="s">
        <v>19</v>
      </c>
      <c r="H46" t="s">
        <v>201</v>
      </c>
      <c r="I46">
        <v>117</v>
      </c>
      <c r="K46" s="6" t="s">
        <v>19</v>
      </c>
      <c r="L46" t="s">
        <v>201</v>
      </c>
      <c r="M46">
        <v>5441.2</v>
      </c>
    </row>
    <row r="47" spans="1:13" x14ac:dyDescent="0.3">
      <c r="A47" t="s">
        <v>19</v>
      </c>
      <c r="B47" t="s">
        <v>309</v>
      </c>
      <c r="C47">
        <v>39</v>
      </c>
      <c r="D47">
        <v>2447.5</v>
      </c>
      <c r="G47" s="6" t="s">
        <v>19</v>
      </c>
      <c r="H47" t="s">
        <v>429</v>
      </c>
      <c r="I47">
        <v>13</v>
      </c>
      <c r="K47" s="6" t="s">
        <v>19</v>
      </c>
      <c r="L47" t="s">
        <v>429</v>
      </c>
      <c r="M47">
        <v>392.8</v>
      </c>
    </row>
    <row r="48" spans="1:13" x14ac:dyDescent="0.3">
      <c r="A48" t="s">
        <v>19</v>
      </c>
      <c r="B48" t="s">
        <v>1116</v>
      </c>
      <c r="C48">
        <v>56</v>
      </c>
      <c r="D48">
        <v>3391.1</v>
      </c>
      <c r="G48" s="6" t="s">
        <v>19</v>
      </c>
      <c r="H48" t="s">
        <v>72</v>
      </c>
      <c r="I48">
        <v>364</v>
      </c>
      <c r="K48" s="6" t="s">
        <v>19</v>
      </c>
      <c r="L48" t="s">
        <v>72</v>
      </c>
      <c r="M48">
        <v>16172.000000000005</v>
      </c>
    </row>
    <row r="49" spans="1:13" x14ac:dyDescent="0.3">
      <c r="A49" t="s">
        <v>19</v>
      </c>
      <c r="B49" t="s">
        <v>700</v>
      </c>
      <c r="C49">
        <v>2</v>
      </c>
      <c r="D49">
        <v>30.8</v>
      </c>
      <c r="G49" s="6" t="s">
        <v>19</v>
      </c>
      <c r="H49" t="s">
        <v>74</v>
      </c>
      <c r="I49">
        <v>95</v>
      </c>
      <c r="K49" s="6" t="s">
        <v>19</v>
      </c>
      <c r="L49" t="s">
        <v>74</v>
      </c>
      <c r="M49">
        <v>4334.9999999999991</v>
      </c>
    </row>
    <row r="50" spans="1:13" x14ac:dyDescent="0.3">
      <c r="A50" t="s">
        <v>19</v>
      </c>
      <c r="B50" t="s">
        <v>268</v>
      </c>
      <c r="C50">
        <v>8</v>
      </c>
      <c r="D50">
        <v>332.3</v>
      </c>
      <c r="G50" s="6" t="s">
        <v>19</v>
      </c>
      <c r="H50" t="s">
        <v>77</v>
      </c>
      <c r="I50">
        <v>737</v>
      </c>
      <c r="K50" s="6" t="s">
        <v>19</v>
      </c>
      <c r="L50" t="s">
        <v>77</v>
      </c>
      <c r="M50">
        <v>37449.000000000007</v>
      </c>
    </row>
    <row r="51" spans="1:13" x14ac:dyDescent="0.3">
      <c r="A51" t="s">
        <v>19</v>
      </c>
      <c r="B51" t="s">
        <v>377</v>
      </c>
      <c r="C51">
        <v>52</v>
      </c>
      <c r="D51">
        <v>3175.9999999999995</v>
      </c>
      <c r="G51" s="6" t="s">
        <v>19</v>
      </c>
      <c r="H51" t="s">
        <v>309</v>
      </c>
      <c r="I51">
        <v>39</v>
      </c>
      <c r="K51" s="6" t="s">
        <v>19</v>
      </c>
      <c r="L51" t="s">
        <v>309</v>
      </c>
      <c r="M51">
        <v>2447.5</v>
      </c>
    </row>
    <row r="52" spans="1:13" x14ac:dyDescent="0.3">
      <c r="A52" t="s">
        <v>19</v>
      </c>
      <c r="B52" t="s">
        <v>108</v>
      </c>
      <c r="C52">
        <v>295</v>
      </c>
      <c r="D52">
        <v>20939.600000000002</v>
      </c>
      <c r="G52" s="6" t="s">
        <v>19</v>
      </c>
      <c r="H52" t="s">
        <v>1116</v>
      </c>
      <c r="I52">
        <v>56</v>
      </c>
      <c r="K52" s="6" t="s">
        <v>19</v>
      </c>
      <c r="L52" t="s">
        <v>1116</v>
      </c>
      <c r="M52">
        <v>3391.1</v>
      </c>
    </row>
    <row r="53" spans="1:13" x14ac:dyDescent="0.3">
      <c r="A53" t="s">
        <v>19</v>
      </c>
      <c r="B53" t="s">
        <v>110</v>
      </c>
      <c r="C53">
        <v>195</v>
      </c>
      <c r="D53">
        <v>10185.899999999996</v>
      </c>
      <c r="G53" s="6" t="s">
        <v>19</v>
      </c>
      <c r="H53" t="s">
        <v>700</v>
      </c>
      <c r="I53">
        <v>2</v>
      </c>
      <c r="K53" s="6" t="s">
        <v>19</v>
      </c>
      <c r="L53" t="s">
        <v>700</v>
      </c>
      <c r="M53">
        <v>30.8</v>
      </c>
    </row>
    <row r="54" spans="1:13" x14ac:dyDescent="0.3">
      <c r="A54" t="s">
        <v>19</v>
      </c>
      <c r="B54" t="s">
        <v>292</v>
      </c>
      <c r="C54">
        <v>20</v>
      </c>
      <c r="D54">
        <v>958.7</v>
      </c>
      <c r="G54" s="6" t="s">
        <v>19</v>
      </c>
      <c r="H54" t="s">
        <v>268</v>
      </c>
      <c r="I54">
        <v>8</v>
      </c>
      <c r="K54" s="6" t="s">
        <v>19</v>
      </c>
      <c r="L54" t="s">
        <v>268</v>
      </c>
      <c r="M54">
        <v>332.3</v>
      </c>
    </row>
    <row r="55" spans="1:13" x14ac:dyDescent="0.3">
      <c r="A55" t="s">
        <v>19</v>
      </c>
      <c r="B55" t="s">
        <v>79</v>
      </c>
      <c r="C55">
        <v>6</v>
      </c>
      <c r="D55">
        <v>323</v>
      </c>
      <c r="G55" s="6" t="s">
        <v>19</v>
      </c>
      <c r="H55" t="s">
        <v>377</v>
      </c>
      <c r="I55">
        <v>52</v>
      </c>
      <c r="K55" s="6" t="s">
        <v>19</v>
      </c>
      <c r="L55" t="s">
        <v>377</v>
      </c>
      <c r="M55">
        <v>3175.9999999999995</v>
      </c>
    </row>
    <row r="56" spans="1:13" x14ac:dyDescent="0.3">
      <c r="A56" t="s">
        <v>19</v>
      </c>
      <c r="B56" t="s">
        <v>608</v>
      </c>
      <c r="C56">
        <v>5</v>
      </c>
      <c r="D56">
        <v>167.70000000000002</v>
      </c>
      <c r="G56" s="6" t="s">
        <v>19</v>
      </c>
      <c r="H56" t="s">
        <v>108</v>
      </c>
      <c r="I56">
        <v>295</v>
      </c>
      <c r="K56" s="6" t="s">
        <v>19</v>
      </c>
      <c r="L56" t="s">
        <v>108</v>
      </c>
      <c r="M56">
        <v>20939.600000000002</v>
      </c>
    </row>
    <row r="57" spans="1:13" x14ac:dyDescent="0.3">
      <c r="A57" t="s">
        <v>19</v>
      </c>
      <c r="B57" t="s">
        <v>113</v>
      </c>
      <c r="C57">
        <v>94</v>
      </c>
      <c r="D57">
        <v>3978.5</v>
      </c>
      <c r="G57" s="6" t="s">
        <v>19</v>
      </c>
      <c r="H57" t="s">
        <v>110</v>
      </c>
      <c r="I57">
        <v>195</v>
      </c>
      <c r="K57" s="6" t="s">
        <v>19</v>
      </c>
      <c r="L57" t="s">
        <v>110</v>
      </c>
      <c r="M57">
        <v>10185.899999999996</v>
      </c>
    </row>
    <row r="58" spans="1:13" x14ac:dyDescent="0.3">
      <c r="A58" t="s">
        <v>19</v>
      </c>
      <c r="B58" t="s">
        <v>997</v>
      </c>
      <c r="C58">
        <v>28</v>
      </c>
      <c r="D58">
        <v>1405</v>
      </c>
      <c r="G58" s="6" t="s">
        <v>19</v>
      </c>
      <c r="H58" t="s">
        <v>292</v>
      </c>
      <c r="I58">
        <v>20</v>
      </c>
      <c r="K58" s="6" t="s">
        <v>19</v>
      </c>
      <c r="L58" t="s">
        <v>292</v>
      </c>
      <c r="M58">
        <v>958.7</v>
      </c>
    </row>
    <row r="59" spans="1:13" x14ac:dyDescent="0.3">
      <c r="A59" t="s">
        <v>19</v>
      </c>
      <c r="B59" t="s">
        <v>82</v>
      </c>
      <c r="C59">
        <v>179</v>
      </c>
      <c r="D59">
        <v>9869.0999999999985</v>
      </c>
      <c r="G59" s="6" t="s">
        <v>19</v>
      </c>
      <c r="H59" t="s">
        <v>79</v>
      </c>
      <c r="I59">
        <v>6</v>
      </c>
      <c r="K59" s="6" t="s">
        <v>19</v>
      </c>
      <c r="L59" t="s">
        <v>79</v>
      </c>
      <c r="M59">
        <v>323</v>
      </c>
    </row>
    <row r="60" spans="1:13" x14ac:dyDescent="0.3">
      <c r="A60" t="s">
        <v>19</v>
      </c>
      <c r="B60" t="s">
        <v>243</v>
      </c>
      <c r="C60">
        <v>15</v>
      </c>
      <c r="D60">
        <v>615.29999999999995</v>
      </c>
      <c r="G60" s="6" t="s">
        <v>19</v>
      </c>
      <c r="H60" t="s">
        <v>608</v>
      </c>
      <c r="I60">
        <v>5</v>
      </c>
      <c r="K60" s="6" t="s">
        <v>19</v>
      </c>
      <c r="L60" t="s">
        <v>608</v>
      </c>
      <c r="M60">
        <v>167.70000000000002</v>
      </c>
    </row>
    <row r="61" spans="1:13" x14ac:dyDescent="0.3">
      <c r="A61" t="s">
        <v>19</v>
      </c>
      <c r="B61" t="s">
        <v>1911</v>
      </c>
      <c r="C61">
        <v>3</v>
      </c>
      <c r="D61">
        <v>285</v>
      </c>
      <c r="G61" s="6" t="s">
        <v>19</v>
      </c>
      <c r="H61" t="s">
        <v>113</v>
      </c>
      <c r="I61">
        <v>94</v>
      </c>
      <c r="K61" s="6" t="s">
        <v>19</v>
      </c>
      <c r="L61" t="s">
        <v>113</v>
      </c>
      <c r="M61">
        <v>3978.5</v>
      </c>
    </row>
    <row r="62" spans="1:13" x14ac:dyDescent="0.3">
      <c r="G62" s="6" t="s">
        <v>19</v>
      </c>
      <c r="H62" t="s">
        <v>997</v>
      </c>
      <c r="I62">
        <v>28</v>
      </c>
      <c r="K62" s="6" t="s">
        <v>19</v>
      </c>
      <c r="L62" t="s">
        <v>997</v>
      </c>
      <c r="M62">
        <v>1405</v>
      </c>
    </row>
    <row r="63" spans="1:13" x14ac:dyDescent="0.3">
      <c r="G63" s="6" t="s">
        <v>19</v>
      </c>
      <c r="H63" t="s">
        <v>82</v>
      </c>
      <c r="I63">
        <v>179</v>
      </c>
      <c r="K63" s="6" t="s">
        <v>19</v>
      </c>
      <c r="L63" t="s">
        <v>82</v>
      </c>
      <c r="M63">
        <v>9869.0999999999985</v>
      </c>
    </row>
    <row r="64" spans="1:13" x14ac:dyDescent="0.3">
      <c r="G64" s="6" t="s">
        <v>19</v>
      </c>
      <c r="H64" t="s">
        <v>243</v>
      </c>
      <c r="I64">
        <v>15</v>
      </c>
      <c r="K64" s="6" t="s">
        <v>19</v>
      </c>
      <c r="L64" t="s">
        <v>243</v>
      </c>
      <c r="M64">
        <v>615.29999999999995</v>
      </c>
    </row>
    <row r="65" spans="7:13" x14ac:dyDescent="0.3">
      <c r="G65" s="13" t="s">
        <v>19</v>
      </c>
      <c r="H65" t="s">
        <v>1911</v>
      </c>
      <c r="I65">
        <v>3</v>
      </c>
      <c r="K65" s="13" t="s">
        <v>19</v>
      </c>
      <c r="L65" t="s">
        <v>1911</v>
      </c>
      <c r="M65">
        <v>285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3"/>
  <sheetViews>
    <sheetView topLeftCell="B1" workbookViewId="0">
      <selection activeCell="D10" sqref="D1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row r="2403" spans="1:15" x14ac:dyDescent="0.3">
      <c r="C2403">
        <f>MAX(orders[Quantity])</f>
        <v>87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54" zoomScaleNormal="64" workbookViewId="0">
      <selection activeCell="AH7" sqref="AH7"/>
    </sheetView>
  </sheetViews>
  <sheetFormatPr defaultRowHeight="14.4" x14ac:dyDescent="0.3"/>
  <cols>
    <col min="1" max="1" width="3.33203125" customWidth="1"/>
    <col min="2" max="2" width="22.21875" customWidth="1"/>
    <col min="3" max="4" width="3.33203125" customWidth="1"/>
    <col min="19" max="19" width="13" customWidth="1"/>
    <col min="20" max="20" width="4.109375" customWidth="1"/>
    <col min="26" max="26" width="10.44140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5" sqref="B5"/>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326B12-4E69-4E66-B274-1473CF5DBA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KPIs</vt:lpstr>
      <vt:lpstr>Sheet2</vt:lpstr>
      <vt:lpstr>Sheet1</vt:lpstr>
      <vt:lpstr>gender</vt:lpstr>
      <vt:lpstr>map</vt:lpstr>
      <vt:lpstr>Data</vt:lpstr>
      <vt:lpstr>Dashboard</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Mirza Mujammil</cp:lastModifiedBy>
  <dcterms:created xsi:type="dcterms:W3CDTF">2025-06-13T02:42:26Z</dcterms:created>
  <dcterms:modified xsi:type="dcterms:W3CDTF">2026-04-22T16:31:57Z</dcterms:modified>
</cp:coreProperties>
</file>